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Revenue Drivers" state="visible" r:id="rId6"/>
    <sheet sheetId="4" name="3-Statement" state="visible" r:id="rId7"/>
    <sheet sheetId="5" name="DCF" state="visible" r:id="rId8"/>
    <sheet sheetId="6" name="Sensitivity" state="visible" r:id="rId9"/>
    <sheet sheetId="7" name="Comps" state="visible" r:id="rId10"/>
    <sheet sheetId="8" name="Scenarios &amp; Risk" state="visible" r:id="rId11"/>
    <sheet sheetId="9" name="Compliance Screen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C5" authorId="0">
      <text>
        <r>
          <t xml:space="preserve">Source: Market Data &amp; Comparables Snapshot, p.2
Open in Faheem, faheem://doc/market-data-comps/2</t>
        </r>
      </text>
    </comment>
    <comment ref="C6" authorId="0">
      <text>
        <r>
          <t xml:space="preserve">Source: Market Data &amp; Comparables Snapshot, p.2
Open in Faheem, faheem://doc/market-data-comps/2</t>
        </r>
      </text>
    </comment>
    <comment ref="C7" authorId="0">
      <text>
        <r>
          <t xml:space="preserve">Source: Market Data &amp; Comparables Snapshot, p.3
Open in Faheem, faheem://doc/market-data-comps/3</t>
        </r>
      </text>
    </comment>
    <comment ref="C8" authorId="0">
      <text>
        <r>
          <t xml:space="preserve">Source: Market Data &amp; Comparables Snapshot, p.3
Open in Faheem, faheem://doc/market-data-comps/3</t>
        </r>
      </text>
    </comment>
    <comment ref="C9" authorId="0">
      <text>
        <r>
          <t xml:space="preserve">Source: Market Data &amp; Comparables Snapshot, p.3
Open in Faheem, faheem://doc/market-data-comps/3
n/a, insufficient trading history (IPO'd Dec 2024)</t>
        </r>
      </text>
    </comment>
    <comment ref="C10" authorId="0">
      <text>
        <r>
          <t>Assumption, analyst judgment: levered beta = comp-set median of DoorDash 1.78 and Delivery Hero 1.86 (Talabat n/a, insufficient trading history), per Market Data &amp; Comparables Snapshot p.3. Jahez's own 0.02 5Y beta is a thin-trading artifact and is NOT used. A bottom-up unlever/relever to Jahez's capital structure is the flagged next step.</t>
        </r>
      </text>
    </comment>
    <comment ref="C12" authorId="0">
      <text>
        <r>
          <t>Assumption, analyst judgment: cost-of-debt spread of +200bps over the risk-free rate. No clean Jahez credit spread is sourceable (Cbonds Saudi IG index is paywalled; the sovereign USD spread of ~50–100bps is sovereign, not corporate). 200bps reflects an unrated but cash-generative KSA mid-cap.</t>
        </r>
      </text>
    </comment>
    <comment ref="C14" authorId="0">
      <text>
        <r>
          <t>Assumption, analyst judgment: Saudi zakat convention ~2.5% of the zakat base for Saudi/GCC-owned entities (vs the 20% CIT that applies to foreign ownership). Q1-26 zakat of SAR 0.12m sat on a pre-zakat loss, so no meaningful effective rate is observable. Applied as the NOPAT tax rate and the debt tax-shield.</t>
        </r>
      </text>
    </comment>
    <comment ref="C17" authorId="0">
      <text>
        <r>
          <t xml:space="preserve">Source: Q1 2026 Financial Statements, p.24
Open in Faheem, faheem://doc/q1-26-fs/24
209,836,060 shares at SR 0.5 par (note 9)</t>
        </r>
      </text>
    </comment>
    <comment ref="C18" authorId="0">
      <text>
        <r>
          <t xml:space="preserve">Source: Market Data &amp; Comparables Snapshot, p.2
Open in Faheem, faheem://doc/market-data-comps/2</t>
        </r>
      </text>
    </comment>
    <comment ref="C20" authorId="0">
      <text>
        <r>
          <t xml:space="preserve">Source: Q1 2026 Financial Statements, p.4
Open in Faheem, faheem://doc/q1-26-fs/4</t>
        </r>
      </text>
    </comment>
    <comment ref="C21" authorId="0">
      <text>
        <r>
          <t xml:space="preserve">Source: Q1 2026 Financial Statements, p.4
Open in Faheem, faheem://doc/q1-26-fs/4</t>
        </r>
      </text>
    </comment>
    <comment ref="C22" authorId="0">
      <text>
        <r>
          <t xml:space="preserve">Source: Q1 2026 Financial Statements, p.4
Open in Faheem, faheem://doc/q1-26-fs/4</t>
        </r>
      </text>
    </comment>
    <comment ref="C29" authorId="0">
      <text>
        <r>
          <t>Assumption, analyst judgment: long-run nominal terminal growth ~3.0%, broadly Saudi long-term inflation / nominal GDP, below the explicit-period growth and above zero real. Bull 3.5% / Bear 2.5%.</t>
        </r>
      </text>
    </comment>
    <comment ref="C30" authorId="0">
      <text>
        <r>
          <t>Assumption, analyst judgment: IRR hold period = 4 years, the mid-point of Lunar's 3–5 year mandate window (see Lunar IC Charter).</t>
        </r>
      </text>
    </comment>
    <comment ref="C31" authorId="0">
      <text>
        <r>
          <t>Assumption, analyst judgment: explicit forecast horizon of five years (FY26E–FY30E), then Gordon-growth terminal value.</t>
        </r>
      </text>
    </comment>
    <comment ref="C33" authorId="0">
      <text>
        <r>
          <t>Assumption, analyst judgment: D&amp;A held at 3.5% of net revenue (FY25 actual ~3.85%; normalises slightly lower as the IFRS-16 right-of-use base matures).</t>
        </r>
      </text>
    </comment>
    <comment ref="C34" authorId="0">
      <text>
        <r>
          <t>Assumption, analyst judgment: capex at 2.5% of net revenue. No capex line is disclosed in the pack; Jahez is an asset-light platform, so this is set modestly above steady-state maintenance capex.</t>
        </r>
      </text>
    </comment>
    <comment ref="C35" authorId="0">
      <text>
        <r>
          <t>Assumption, analyst judgment: ΔNWC drag at 2.0% of the change in net revenue. Delivery platforms run negative-to-near-zero working capital (collect from diners fast, settle restaurants/riders later); a small 2% drag on incremental revenue is deliberately conservative.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C4" authorId="0">
      <text>
        <r>
          <t xml:space="preserve">Source: Annual Report 2024, p.24
Open in Faheem, faheem://doc/fy24-ar/24</t>
        </r>
      </text>
    </comment>
    <comment ref="D4" authorId="0">
      <text>
        <r>
          <t xml:space="preserve">Source: Q4 2025 Earnings Results, p.4
Open in Faheem, faheem://doc/fy25-er/4</t>
        </r>
      </text>
    </comment>
    <comment ref="E4" authorId="0">
      <text>
        <r>
          <t xml:space="preserve">Source: Q4 2025 Earnings Results, p.4
Open in Faheem, faheem://doc/fy25-er/4</t>
        </r>
      </text>
    </comment>
    <comment ref="F5" authorId="0">
      <text>
        <r>
          <t>Assumption, analyst judgment: order growth FY26E +18% (Snoonu full-year consolidation from Oct-2025 plus organic; Q1-26 orders +21% YoY), tapering toward +6% single-market maturity by FY30E.</t>
        </r>
      </text>
    </comment>
    <comment ref="G5" authorId="0">
      <text>
        <r>
          <t>Assumption, analyst judgment: order growth FY26E +18% (Snoonu full-year consolidation from Oct-2025 plus organic; Q1-26 orders +21% YoY), tapering toward +6% single-market maturity by FY30E.</t>
        </r>
      </text>
    </comment>
    <comment ref="H5" authorId="0">
      <text>
        <r>
          <t>Assumption, analyst judgment: order growth FY26E +18% (Snoonu full-year consolidation from Oct-2025 plus organic; Q1-26 orders +21% YoY), tapering toward +6% single-market maturity by FY30E.</t>
        </r>
      </text>
    </comment>
    <comment ref="I5" authorId="0">
      <text>
        <r>
          <t>Assumption, analyst judgment: order growth FY26E +18% (Snoonu full-year consolidation from Oct-2025 plus organic; Q1-26 orders +21% YoY), tapering toward +6% single-market maturity by FY30E.</t>
        </r>
      </text>
    </comment>
    <comment ref="J5" authorId="0">
      <text>
        <r>
          <t>Assumption, analyst judgment: order growth FY26E +18% (Snoonu full-year consolidation from Oct-2025 plus organic; Q1-26 orders +21% YoY), tapering toward +6% single-market maturity by FY30E.</t>
        </r>
      </text>
    </comment>
    <comment ref="C6" authorId="0">
      <text>
        <r>
          <t xml:space="preserve">Source: Annual Report 2024, p.24
Open in Faheem, faheem://doc/fy24-ar/24</t>
        </r>
      </text>
    </comment>
    <comment ref="D6" authorId="0">
      <text>
        <r>
          <t xml:space="preserve">Source: Q4 2025 Earnings Results, p.4
Open in Faheem, faheem://doc/fy25-er/4</t>
        </r>
      </text>
    </comment>
    <comment ref="E6" authorId="0">
      <text>
        <r>
          <t xml:space="preserve">Source: Q4 2025 Earnings Results, p.4
Open in Faheem, faheem://doc/fy25-er/4</t>
        </r>
      </text>
    </comment>
    <comment ref="F7" authorId="0">
      <text>
        <r>
          <t>Assumption, analyst judgment: AOV growth FY26E +6% (basket-mix + inflation; Q1-26 AOV +15% YoY on Snoonu mix), tapering to +3%.</t>
        </r>
      </text>
    </comment>
    <comment ref="G7" authorId="0">
      <text>
        <r>
          <t>Assumption, analyst judgment: AOV growth FY26E +6% (basket-mix + inflation; Q1-26 AOV +15% YoY on Snoonu mix), tapering to +3%.</t>
        </r>
      </text>
    </comment>
    <comment ref="H7" authorId="0">
      <text>
        <r>
          <t>Assumption, analyst judgment: AOV growth FY26E +6% (basket-mix + inflation; Q1-26 AOV +15% YoY on Snoonu mix), tapering to +3%.</t>
        </r>
      </text>
    </comment>
    <comment ref="I7" authorId="0">
      <text>
        <r>
          <t>Assumption, analyst judgment: AOV growth FY26E +6% (basket-mix + inflation; Q1-26 AOV +15% YoY on Snoonu mix), tapering to +3%.</t>
        </r>
      </text>
    </comment>
    <comment ref="J7" authorId="0">
      <text>
        <r>
          <t>Assumption, analyst judgment: AOV growth FY26E +6% (basket-mix + inflation; Q1-26 AOV +15% YoY on Snoonu mix), tapering to +3%.</t>
        </r>
      </text>
    </comment>
    <comment ref="C8" authorId="0">
      <text>
        <r>
          <t xml:space="preserve">Source: Annual Report 2024, p.24
Open in Faheem, faheem://doc/fy24-ar/24
Actuals reported; orders×AOV ties within rounding.</t>
        </r>
      </text>
    </comment>
    <comment ref="D8" authorId="0">
      <text>
        <r>
          <t xml:space="preserve">Source: Q4 2025 Earnings Results, p.4
Open in Faheem, faheem://doc/fy25-er/4
Actuals reported; orders×AOV ties within rounding.</t>
        </r>
      </text>
    </comment>
    <comment ref="E8" authorId="0">
      <text>
        <r>
          <t xml:space="preserve">Source: Q4 2025 Earnings Results, p.4
Open in Faheem, faheem://doc/fy25-er/4
Actuals reported; orders×AOV ties within rounding.</t>
        </r>
      </text>
    </comment>
    <comment ref="F8" authorId="0">
      <text>
        <r>
          <t>GMV = Orders × AOV</t>
        </r>
      </text>
    </comment>
    <comment ref="G8" authorId="0">
      <text>
        <r>
          <t>GMV = Orders × AOV</t>
        </r>
      </text>
    </comment>
    <comment ref="H8" authorId="0">
      <text>
        <r>
          <t>GMV = Orders × AOV</t>
        </r>
      </text>
    </comment>
    <comment ref="I8" authorId="0">
      <text>
        <r>
          <t>GMV = Orders × AOV</t>
        </r>
      </text>
    </comment>
    <comment ref="J8" authorId="0">
      <text>
        <r>
          <t>GMV = Orders × AOV</t>
        </r>
      </text>
    </comment>
    <comment ref="F9" authorId="0">
      <text>
        <r>
          <t>Assumption, analyst judgment: net-revenue monetisation (net revenue / GMV) eases from FY25's 32.1% to 31.0% in FY26E then holds at 30.5%, reflecting continued delivery-fee competition (KSA platform revenue fell 8.6% YoY in FY25) before stabilising.</t>
        </r>
      </text>
    </comment>
    <comment ref="G9" authorId="0">
      <text>
        <r>
          <t>Assumption, analyst judgment: net-revenue monetisation (net revenue / GMV) eases from FY25's 32.1% to 31.0% in FY26E then holds at 30.5%, reflecting continued delivery-fee competition (KSA platform revenue fell 8.6% YoY in FY25) before stabilising.</t>
        </r>
      </text>
    </comment>
    <comment ref="H9" authorId="0">
      <text>
        <r>
          <t>Assumption, analyst judgment: net-revenue monetisation (net revenue / GMV) eases from FY25's 32.1% to 31.0% in FY26E then holds at 30.5%, reflecting continued delivery-fee competition (KSA platform revenue fell 8.6% YoY in FY25) before stabilising.</t>
        </r>
      </text>
    </comment>
    <comment ref="I9" authorId="0">
      <text>
        <r>
          <t>Assumption, analyst judgment: net-revenue monetisation (net revenue / GMV) eases from FY25's 32.1% to 31.0% in FY26E then holds at 30.5%, reflecting continued delivery-fee competition (KSA platform revenue fell 8.6% YoY in FY25) before stabilising.</t>
        </r>
      </text>
    </comment>
    <comment ref="J9" authorId="0">
      <text>
        <r>
          <t>Assumption, analyst judgment: net-revenue monetisation (net revenue / GMV) eases from FY25's 32.1% to 31.0% in FY26E then holds at 30.5%, reflecting continued delivery-fee competition (KSA platform revenue fell 8.6% YoY in FY25) before stabilising.</t>
        </r>
      </text>
    </comment>
    <comment ref="C10" authorId="0">
      <text>
        <r>
          <t xml:space="preserve">Source: Annual Report 2024, p.5
Open in Faheem, faheem://doc/fy24-ar/5</t>
        </r>
      </text>
    </comment>
    <comment ref="D10" authorId="0">
      <text>
        <r>
          <t xml:space="preserve">Source: Q4 2025 Earnings Results, p.4
Open in Faheem, faheem://doc/fy25-er/4</t>
        </r>
      </text>
    </comment>
    <comment ref="E10" authorId="0">
      <text>
        <r>
          <t xml:space="preserve">Source: Q4 2025 Earnings Results, p.4
Open in Faheem, faheem://doc/fy25-er/4</t>
        </r>
      </text>
    </comment>
    <comment ref="F10" authorId="0">
      <text>
        <r>
          <t>Net revenue = GMV × net-revenue rate</t>
        </r>
      </text>
    </comment>
    <comment ref="G10" authorId="0">
      <text>
        <r>
          <t>Net revenue = GMV × net-revenue rate</t>
        </r>
      </text>
    </comment>
    <comment ref="H10" authorId="0">
      <text>
        <r>
          <t>Net revenue = GMV × net-revenue rate</t>
        </r>
      </text>
    </comment>
    <comment ref="I10" authorId="0">
      <text>
        <r>
          <t>Net revenue = GMV × net-revenue rate</t>
        </r>
      </text>
    </comment>
    <comment ref="J10" authorId="0">
      <text>
        <r>
          <t>Net revenue = GMV × net-revenue rate</t>
        </r>
      </text>
    </comment>
    <comment ref="C11" authorId="0">
      <text>
        <r>
          <t xml:space="preserve">Source: Annual Report 2024, p.24
Open in Faheem, faheem://doc/fy24-ar/24</t>
        </r>
      </text>
    </comment>
    <comment ref="D11" authorId="0">
      <text>
        <r>
          <t xml:space="preserve">Source: Annual Report 2024, p.5
Open in Faheem, faheem://doc/fy24-ar/5</t>
        </r>
      </text>
    </comment>
    <comment ref="E11" authorId="0">
      <text>
        <r>
          <t xml:space="preserve">Source: Q4 2025 Earnings Results, p.11
Open in Faheem, faheem://doc/fy25-er/11</t>
        </r>
      </text>
    </comment>
    <comment ref="F11" authorId="0">
      <text>
        <r>
          <t>held at FY25 commission take rate</t>
        </r>
      </text>
    </comment>
    <comment ref="G11" authorId="0">
      <text>
        <r>
          <t>held at FY25 commission take rate</t>
        </r>
      </text>
    </comment>
    <comment ref="H11" authorId="0">
      <text>
        <r>
          <t>held at FY25 commission take rate</t>
        </r>
      </text>
    </comment>
    <comment ref="I11" authorId="0">
      <text>
        <r>
          <t>held at FY25 commission take rate</t>
        </r>
      </text>
    </comment>
    <comment ref="J11" authorId="0">
      <text>
        <r>
          <t>held at FY25 commission take rate</t>
        </r>
      </text>
    </comment>
    <comment ref="E12" authorId="0">
      <text>
        <r>
          <t xml:space="preserve">Source: Q4 2025 Earnings Results, p.4
Open in Faheem, faheem://doc/fy25-er/4</t>
        </r>
      </text>
    </comment>
    <comment ref="E15" authorId="0">
      <text>
        <r>
          <t xml:space="preserve">Source: Q4 2025 Earnings Results, p.9
Open in Faheem, faheem://doc/fy25-er/9</t>
        </r>
      </text>
    </comment>
    <comment ref="E16" authorId="0">
      <text>
        <r>
          <t xml:space="preserve">Source: Q4 2025 Earnings Results, p.9
Open in Faheem, faheem://doc/fy25-er/9</t>
        </r>
      </text>
    </comment>
    <comment ref="E17" authorId="0">
      <text>
        <r>
          <t xml:space="preserve">Source: Q4 2025 Earnings Results, p.9
Open in Faheem, faheem://doc/fy25-er/9</t>
        </r>
      </text>
    </comment>
    <comment ref="E18" authorId="0">
      <text>
        <r>
          <t xml:space="preserve">Source: Q4 2025 Earnings Results, p.9
Open in Faheem, faheem://doc/fy25-er/9</t>
        </r>
      </text>
    </comment>
    <comment ref="E20" authorId="0">
      <text>
        <r>
          <t>Segment revenues are reported pre-elimination; the group figure is consolidated net of inter-segment revenue.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5" authorId="0">
      <text>
        <r>
          <t>from Revenue Drivers (sourced actual)</t>
        </r>
      </text>
    </comment>
    <comment ref="D5" authorId="0">
      <text>
        <r>
          <t>from Revenue Drivers (sourced actual)</t>
        </r>
      </text>
    </comment>
    <comment ref="E5" authorId="0">
      <text>
        <r>
          <t>from Revenue Drivers (sourced actual)</t>
        </r>
      </text>
    </comment>
    <comment ref="F5" authorId="0">
      <text>
        <r>
          <t>from Revenue Drivers (formula-driven)</t>
        </r>
      </text>
    </comment>
    <comment ref="G5" authorId="0">
      <text>
        <r>
          <t>from Revenue Drivers (formula-driven)</t>
        </r>
      </text>
    </comment>
    <comment ref="H5" authorId="0">
      <text>
        <r>
          <t>from Revenue Drivers (formula-driven)</t>
        </r>
      </text>
    </comment>
    <comment ref="I5" authorId="0">
      <text>
        <r>
          <t>from Revenue Drivers (formula-driven)</t>
        </r>
      </text>
    </comment>
    <comment ref="J5" authorId="0">
      <text>
        <r>
          <t>from Revenue Drivers (formula-driven)</t>
        </r>
      </text>
    </comment>
    <comment ref="F6" authorId="0">
      <text>
        <r>
          <t>Assumption, analyst judgment: EBITDA margin path anchored to management's FY2026 guidance of SAR 200–220m adj. EBITDA (~7.5% on forecast revenue), recovering to 12.0% by FY30E as Q4-25 one-offs roll off, Snoonu (FY25 adj. EBITDA +SAR 53.7m, profitable) consolidates for a full year, and operating leverage builds, a terminal margin at ~the FY24 peak plus modest leverage.</t>
        </r>
      </text>
    </comment>
    <comment ref="G6" authorId="0">
      <text>
        <r>
          <t>Assumption, analyst judgment: EBITDA margin path anchored to management's FY2026 guidance of SAR 200–220m adj. EBITDA (~7.5% on forecast revenue), recovering to 12.0% by FY30E as Q4-25 one-offs roll off, Snoonu (FY25 adj. EBITDA +SAR 53.7m, profitable) consolidates for a full year, and operating leverage builds, a terminal margin at ~the FY24 peak plus modest leverage.</t>
        </r>
      </text>
    </comment>
    <comment ref="H6" authorId="0">
      <text>
        <r>
          <t>Assumption, analyst judgment: EBITDA margin path anchored to management's FY2026 guidance of SAR 200–220m adj. EBITDA (~7.5% on forecast revenue), recovering to 12.0% by FY30E as Q4-25 one-offs roll off, Snoonu (FY25 adj. EBITDA +SAR 53.7m, profitable) consolidates for a full year, and operating leverage builds, a terminal margin at ~the FY24 peak plus modest leverage.</t>
        </r>
      </text>
    </comment>
    <comment ref="I6" authorId="0">
      <text>
        <r>
          <t>Assumption, analyst judgment: EBITDA margin path anchored to management's FY2026 guidance of SAR 200–220m adj. EBITDA (~7.5% on forecast revenue), recovering to 12.0% by FY30E as Q4-25 one-offs roll off, Snoonu (FY25 adj. EBITDA +SAR 53.7m, profitable) consolidates for a full year, and operating leverage builds, a terminal margin at ~the FY24 peak plus modest leverage.</t>
        </r>
      </text>
    </comment>
    <comment ref="J6" authorId="0">
      <text>
        <r>
          <t>Assumption, analyst judgment: EBITDA margin path anchored to management's FY2026 guidance of SAR 200–220m adj. EBITDA (~7.5% on forecast revenue), recovering to 12.0% by FY30E as Q4-25 one-offs roll off, Snoonu (FY25 adj. EBITDA +SAR 53.7m, profitable) consolidates for a full year, and operating leverage builds, a terminal margin at ~the FY24 peak plus modest leverage.</t>
        </r>
      </text>
    </comment>
    <comment ref="C7" authorId="0">
      <text>
        <r>
          <t xml:space="preserve">Source: Annual Report 2024, p.5
Open in Faheem, faheem://doc/fy24-ar/5</t>
        </r>
      </text>
    </comment>
    <comment ref="D7" authorId="0">
      <text>
        <r>
          <t xml:space="preserve">Source: Q4 2025 Earnings Results, p.4
Open in Faheem, faheem://doc/fy25-er/4</t>
        </r>
      </text>
    </comment>
    <comment ref="E7" authorId="0">
      <text>
        <r>
          <t xml:space="preserve">Source: Q4 2025 Earnings Results, p.4
Open in Faheem, faheem://doc/fy25-er/4</t>
        </r>
      </text>
    </comment>
    <comment ref="D8" authorId="0">
      <text>
        <r>
          <t xml:space="preserve">Source: Q4 2025 Earnings Results, p.8
Open in Faheem, faheem://doc/fy25-er/8</t>
        </r>
      </text>
    </comment>
    <comment ref="E8" authorId="0">
      <text>
        <r>
          <t xml:space="preserve">Source: Q4 2025 Earnings Results, p.8
Open in Faheem, faheem://doc/fy25-er/8</t>
        </r>
      </text>
    </comment>
    <comment ref="F8" authorId="0">
      <text>
        <r>
          <t>= net revenue × D&amp;A rate (Assumptions)</t>
        </r>
      </text>
    </comment>
    <comment ref="G8" authorId="0">
      <text>
        <r>
          <t>= net revenue × D&amp;A rate (Assumptions)</t>
        </r>
      </text>
    </comment>
    <comment ref="H8" authorId="0">
      <text>
        <r>
          <t>= net revenue × D&amp;A rate (Assumptions)</t>
        </r>
      </text>
    </comment>
    <comment ref="I8" authorId="0">
      <text>
        <r>
          <t>= net revenue × D&amp;A rate (Assumptions)</t>
        </r>
      </text>
    </comment>
    <comment ref="J8" authorId="0">
      <text>
        <r>
          <t>= net revenue × D&amp;A rate (Assumptions)</t>
        </r>
      </text>
    </comment>
    <comment ref="C10" authorId="0">
      <text>
        <r>
          <t xml:space="preserve">Source: Annual Report 2024, p.5
Open in Faheem, faheem://doc/fy24-ar/5</t>
        </r>
      </text>
    </comment>
    <comment ref="D10" authorId="0">
      <text>
        <r>
          <t xml:space="preserve">Source: Q4 2025 Earnings Results, p.4
Open in Faheem, faheem://doc/fy25-er/4</t>
        </r>
      </text>
    </comment>
    <comment ref="E10" authorId="0">
      <text>
        <r>
          <t xml:space="preserve">Source: Q4 2025 Earnings Results, p.4
Open in Faheem, faheem://doc/fy25-er/4</t>
        </r>
      </text>
    </comment>
    <comment ref="F10" authorId="0">
      <text>
        <r>
          <t>Assumption, analyst judgment: forecast net income simplified to EBIT×(1−zakat); net finance cost is ~nil given the net-cash balance sheet.</t>
        </r>
      </text>
    </comment>
    <comment ref="G10" authorId="0">
      <text>
        <r>
          <t>Assumption, analyst judgment: forecast net income simplified to EBIT×(1−zakat); net finance cost is ~nil given the net-cash balance sheet.</t>
        </r>
      </text>
    </comment>
    <comment ref="H10" authorId="0">
      <text>
        <r>
          <t>Assumption, analyst judgment: forecast net income simplified to EBIT×(1−zakat); net finance cost is ~nil given the net-cash balance sheet.</t>
        </r>
      </text>
    </comment>
    <comment ref="I10" authorId="0">
      <text>
        <r>
          <t>Assumption, analyst judgment: forecast net income simplified to EBIT×(1−zakat); net finance cost is ~nil given the net-cash balance sheet.</t>
        </r>
      </text>
    </comment>
    <comment ref="J10" authorId="0">
      <text>
        <r>
          <t>Assumption, analyst judgment: forecast net income simplified to EBIT×(1−zakat); net finance cost is ~nil given the net-cash balance sheet.</t>
        </r>
      </text>
    </comment>
    <comment ref="D15" authorId="0">
      <text>
        <r>
          <t>Assumption, analyst judgment: actual-year FCFF applies the same capex (2.5%) and ΔNWC (2.0%) assumptions to reported EBIT, capex is not separately disclosed, so this is an estimate, shown for continuity only (it does not feed the DCF).</t>
        </r>
      </text>
    </comment>
    <comment ref="E15" authorId="0">
      <text>
        <r>
          <t>Assumption, analyst judgment: actual-year FCFF applies the same capex (2.5%) and ΔNWC (2.0%) assumptions to reported EBIT, capex is not separately disclosed, so this is an estimate, shown for continuity only (it does not feed the DCF).</t>
        </r>
      </text>
    </comment>
    <comment ref="F15" authorId="0">
      <text>
        <r>
          <t>= net revenue × capex rate (Assumptions)</t>
        </r>
      </text>
    </comment>
    <comment ref="G15" authorId="0">
      <text>
        <r>
          <t>= net revenue × capex rate (Assumptions)</t>
        </r>
      </text>
    </comment>
    <comment ref="H15" authorId="0">
      <text>
        <r>
          <t>= net revenue × capex rate (Assumptions)</t>
        </r>
      </text>
    </comment>
    <comment ref="I15" authorId="0">
      <text>
        <r>
          <t>= net revenue × capex rate (Assumptions)</t>
        </r>
      </text>
    </comment>
    <comment ref="J15" authorId="0">
      <text>
        <r>
          <t>= net revenue × capex rate (Assumptions)</t>
        </r>
      </text>
    </comment>
    <comment ref="D20" authorId="0">
      <text>
        <r>
          <t xml:space="preserve">Source: Q1 2026 Financial Statements, p.7
Open in Faheem, faheem://doc/q1-26-fs/7</t>
        </r>
      </text>
    </comment>
    <comment ref="E20" authorId="0">
      <text>
        <r>
          <t xml:space="preserve">Source: Q1 2026 Financial Statements, p.4
Open in Faheem, faheem://doc/q1-26-fs/4</t>
        </r>
      </text>
    </comment>
    <comment ref="F20" authorId="0">
      <text>
        <r>
          <t>Assumption, analyst judgment: forecast cash rolled forward as prior-year cash + FCFF (no dividends/financing modelled, Jahez pays negligible dividends and is net-cash).</t>
        </r>
      </text>
    </comment>
    <comment ref="E21" authorId="0">
      <text>
        <r>
          <t xml:space="preserve">Source: Q1 2026 Financial Statements, p.4
Open in Faheem, faheem://doc/q1-26-fs/4</t>
        </r>
      </text>
    </comment>
    <comment ref="F21" authorId="0">
      <text>
        <r>
          <t>Assumption, analyst judgment: interest-bearing debt and lease liabilities held flat at the FY25 audited level across the forecast (no disclosed amortisation schedule).</t>
        </r>
      </text>
    </comment>
    <comment ref="E22" authorId="0">
      <text>
        <r>
          <t xml:space="preserve">Source: Q1 2026 Financial Statements, p.4
Open in Faheem, faheem://doc/q1-26-fs/4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12" authorId="0">
      <text>
        <r>
          <t>TV = FCFF₃₀ × (1+g) / (WACC − g)</t>
        </r>
      </text>
    </comment>
    <comment ref="E14" authorId="0">
      <text>
        <r>
          <t>EV = Σ PV(FCFF) + PV(terminal value)</t>
        </r>
      </text>
    </comment>
    <comment ref="E20" authorId="0">
      <text>
        <r>
          <t>DCF fair value per share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6" authorId="0">
      <text>
        <r>
          <t xml:space="preserve">Source: Market Data &amp; Comparables Snapshot, p.4
Open in Faheem, faheem://doc/market-data-comps/4</t>
        </r>
      </text>
    </comment>
    <comment ref="D6" authorId="0">
      <text>
        <r>
          <t xml:space="preserve">Source: Market Data &amp; Comparables Snapshot, p.4
Open in Faheem, faheem://doc/market-data-comps/4</t>
        </r>
      </text>
    </comment>
    <comment ref="E6" authorId="0">
      <text>
        <r>
          <t xml:space="preserve">Source: Market Data &amp; Comparables Snapshot, p.4
Open in Faheem, faheem://doc/market-data-comps/4</t>
        </r>
      </text>
    </comment>
    <comment ref="F6" authorId="0">
      <text>
        <r>
          <t>n/a, no matched-period EV/GMV in sources</t>
        </r>
      </text>
    </comment>
    <comment ref="C8" authorId="0">
      <text>
        <r>
          <t xml:space="preserve">Source: Market Data &amp; Comparables Snapshot, p.4
Open in Faheem, faheem://doc/market-data-comps/4</t>
        </r>
      </text>
    </comment>
    <comment ref="D8" authorId="0">
      <text>
        <r>
          <t xml:space="preserve">Source: Market Data &amp; Comparables Snapshot, p.4
Open in Faheem, faheem://doc/market-data-comps/4</t>
        </r>
      </text>
    </comment>
    <comment ref="E8" authorId="0">
      <text>
        <r>
          <t xml:space="preserve">Source: Market Data &amp; Comparables Snapshot, p.4
Open in Faheem, faheem://doc/market-data-comps/4</t>
        </r>
      </text>
    </comment>
    <comment ref="F8" authorId="0">
      <text>
        <r>
          <t>n/a, no matched-period EV/GMV in sources</t>
        </r>
      </text>
    </comment>
    <comment ref="C9" authorId="0">
      <text>
        <r>
          <t xml:space="preserve">Source: Market Data &amp; Comparables Snapshot, p.4
Open in Faheem, faheem://doc/market-data-comps/4</t>
        </r>
      </text>
    </comment>
    <comment ref="D9" authorId="0">
      <text>
        <r>
          <t xml:space="preserve">Source: Market Data &amp; Comparables Snapshot, p.4
Open in Faheem, faheem://doc/market-data-comps/4</t>
        </r>
      </text>
    </comment>
    <comment ref="E9" authorId="0">
      <text>
        <r>
          <t>n/a, loss-making (TTM), P/E not meaningful</t>
        </r>
      </text>
    </comment>
    <comment ref="F9" authorId="0">
      <text>
        <r>
          <t>n/a, no matched-period EV/GMV in sources</t>
        </r>
      </text>
    </comment>
    <comment ref="E12" authorId="0">
      <text>
        <r>
          <t>FY25 net income attributable (depressed −61% YoY on one-offs)</t>
        </r>
      </text>
    </comment>
    <comment ref="E15" authorId="0">
      <text>
        <r>
          <t>n/a</t>
        </r>
      </text>
    </comment>
    <comment ref="C21" authorId="0">
      <text>
        <r>
          <t>the primary valuation; comps are a sense-check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6" authorId="0">
      <text>
        <r>
          <t>Assumption, analyst judgment: scenario probabilities 25% bull / 50% base / 25% bear, analyst's central-case weighting.</t>
        </r>
      </text>
    </comment>
    <comment ref="D6" authorId="0">
      <text>
        <r>
          <t>Assumption, analyst judgment: scenario probabilities 25% bull / 50% base / 25% bear, analyst's central-case weighting.</t>
        </r>
      </text>
    </comment>
    <comment ref="E6" authorId="0">
      <text>
        <r>
          <t>Assumption, analyst judgment: scenario probabilities 25% bull / 50% base / 25% bear, analyst's central-case weighting.</t>
        </r>
      </text>
    </comment>
    <comment ref="H6" authorId="0">
      <text>
        <r>
          <t>Assumption, analyst judgment: bull terminal growth 3.5%</t>
        </r>
      </text>
    </comment>
    <comment ref="H7" authorId="0">
      <text>
        <r>
          <t>Assumption, analyst judgment: bear terminal growth 2.5%</t>
        </r>
      </text>
    </comment>
    <comment ref="F9" authorId="0">
      <text>
        <r>
          <t>scenario-weighted expected return (IRR)</t>
        </r>
      </text>
    </comment>
    <comment ref="C13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13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13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13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13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C15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15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15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15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15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21" authorId="0">
      <text>
        <r>
          <t>scenario fair value per share</t>
        </r>
      </text>
    </comment>
    <comment ref="E23" authorId="0">
      <text>
        <r>
          <t>Assumption, analyst judgment: exit convention: the share price converges to intrinsic value at exit, and intrinsic value compounds at the cost of equity over the hold. IRR = (1+Ke)·(value/entry)^(1/years) − 1, buying at fair value earns Ke; the discount to value is the additional annualised premium.</t>
        </r>
      </text>
    </comment>
    <comment ref="C26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26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26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26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26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C28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28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28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28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28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34" authorId="0">
      <text>
        <r>
          <t>scenario fair value per share</t>
        </r>
      </text>
    </comment>
    <comment ref="E36" authorId="0">
      <text>
        <r>
          <t>Assumption, analyst judgment: exit convention: the share price converges to intrinsic value at exit, and intrinsic value compounds at the cost of equity over the hold. IRR = (1+Ke)·(value/entry)^(1/years) − 1, buying at fair value earns Ke; the discount to value is the additional annualised premium.</t>
        </r>
      </text>
    </comment>
    <comment ref="C39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39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39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39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39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C41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D41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41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F41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G41" authorId="0">
      <text>
        <r>
          <t>Assumption, analyst judgment: bull/bear apply parallel shifts to net-revenue growth (±~3–4pp/yr) and EBITDA margin (±1.5pp) with terminal growth of 3.5% / 2.5%; WACC is held constant to isolate the operating case.</t>
        </r>
      </text>
    </comment>
    <comment ref="E47" authorId="0">
      <text>
        <r>
          <t>scenario fair value per share</t>
        </r>
      </text>
    </comment>
    <comment ref="E49" authorId="0">
      <text>
        <r>
          <t>Assumption, analyst judgment: exit convention: the share price converges to intrinsic value at exit, and intrinsic value compounds at the cost of equity over the hold. IRR = (1+Ke)·(value/entry)^(1/years) − 1, buying at fair value earns Ke; the discount to value is the additional annualised premium.</t>
        </r>
      </text>
    </comment>
    <comment ref="C53" authorId="0">
      <text>
        <r>
          <t>Assumption, analyst judgment: probability score 1–5 (analyst)</t>
        </r>
      </text>
    </comment>
    <comment ref="D53" authorId="0">
      <text>
        <r>
          <t>Assumption, analyst judgment: impact score 1–5 (analyst)</t>
        </r>
      </text>
    </comment>
    <comment ref="C54" authorId="0">
      <text>
        <r>
          <t>Assumption, analyst judgment: probability score 1–5 (analyst)</t>
        </r>
      </text>
    </comment>
    <comment ref="D54" authorId="0">
      <text>
        <r>
          <t>Assumption, analyst judgment: impact score 1–5 (analyst)</t>
        </r>
      </text>
    </comment>
    <comment ref="C55" authorId="0">
      <text>
        <r>
          <t>Assumption, analyst judgment: probability score 1–5 (analyst)</t>
        </r>
      </text>
    </comment>
    <comment ref="D55" authorId="0">
      <text>
        <r>
          <t>Assumption, analyst judgment: impact score 1–5 (analyst)</t>
        </r>
      </text>
    </comment>
    <comment ref="C56" authorId="0">
      <text>
        <r>
          <t>Assumption, analyst judgment: probability score 1–5 (analyst)</t>
        </r>
      </text>
    </comment>
    <comment ref="D56" authorId="0">
      <text>
        <r>
          <t>Assumption, analyst judgment: impact score 1–5 (analyst)</t>
        </r>
      </text>
    </comment>
    <comment ref="C57" authorId="0">
      <text>
        <r>
          <t>Assumption, analyst judgment: probability score 1–5 (analyst)</t>
        </r>
      </text>
    </comment>
    <comment ref="D57" authorId="0">
      <text>
        <r>
          <t>Assumption, analyst judgment: impact score 1–5 (analyst)</t>
        </r>
      </text>
    </comment>
    <comment ref="C58" authorId="0">
      <text>
        <r>
          <t>Assumption, analyst judgment: probability score 1–5 (analyst)</t>
        </r>
      </text>
    </comment>
    <comment ref="D58" authorId="0">
      <text>
        <r>
          <t>Assumption, analyst judgment: impact score 1–5 (analyst)</t>
        </r>
      </text>
    </comment>
    <comment ref="E59" authorId="0">
      <text>
        <r>
          <t>0.6×worst-risk + 0.4×average, scaled to 10</t>
        </r>
      </text>
    </comment>
  </commentList>
</comments>
</file>

<file path=xl/sharedStrings.xml><?xml version="1.0" encoding="utf-8"?>
<sst xmlns="http://schemas.openxmlformats.org/spreadsheetml/2006/main" count="336" uniqueCount="231">
  <si>
    <t>LUNAR INVESTMENTS</t>
  </si>
  <si>
    <t>Equity Research · Jahez International Company (Tadawul: 6017)</t>
  </si>
  <si>
    <t>Rating (advisory only, the committee decides)</t>
  </si>
  <si>
    <t>Target price (DCF fair value)</t>
  </si>
  <si>
    <t>Current price</t>
  </si>
  <si>
    <t>Implied upside / (downside)</t>
  </si>
  <si>
    <t>IRR at entry (base, 4y)</t>
  </si>
  <si>
    <t>Scenario-weighted return</t>
  </si>
  <si>
    <t>Hurdle rate (Lunar mandate)</t>
  </si>
  <si>
    <t>Compliance screen</t>
  </si>
  <si>
    <t>Composite risk (0–10)</t>
  </si>
  <si>
    <t>Weighted value / share</t>
  </si>
  <si>
    <t>All figures are live formulas referencing the model tabs, target price = DCF!Value per share, upside = DCF, IRR &amp; weighted return = Scenarios &amp; Risk, Compliance = Compliance Screen. Advisory only: the Investment Committee decides. Prepared by Faheem for Lunar Investments, 12 Jul 2026. Not investment advice.</t>
  </si>
  <si>
    <t>Lunar Investments · Jahez Group, Valuation Assumptions</t>
  </si>
  <si>
    <t>Discount-rate build, terminal assumptions &amp; operating drivers</t>
  </si>
  <si>
    <t>1 · WACC build (discount rate)</t>
  </si>
  <si>
    <t>Risk-free rate, Saudi 'Sah' sukuk proxy</t>
  </si>
  <si>
    <t>rate</t>
  </si>
  <si>
    <t>market-data-comps p.2</t>
  </si>
  <si>
    <t>Equity risk premium, KSA total ERP (Damodaran)</t>
  </si>
  <si>
    <t>Comp levered beta, DoorDash (DASH), 5Y</t>
  </si>
  <si>
    <t>x</t>
  </si>
  <si>
    <t>market-data-comps p.3</t>
  </si>
  <si>
    <t>Comp levered beta, Delivery Hero (DHER), 5Y</t>
  </si>
  <si>
    <t>Comp levered beta, Talabat (TALABAT)</t>
  </si>
  <si>
    <t>n/a</t>
  </si>
  <si>
    <t>beta</t>
  </si>
  <si>
    <t>Beta used, comp-set median</t>
  </si>
  <si>
    <t>analyst judgment</t>
  </si>
  <si>
    <t>Cost of equity, CAPM (rf + β × ERP)</t>
  </si>
  <si>
    <t>Cost-of-debt spread over rf</t>
  </si>
  <si>
    <t>Pre-tax cost of debt (rf + spread)</t>
  </si>
  <si>
    <t>Zakat / tax rate</t>
  </si>
  <si>
    <t>After-tax cost of debt</t>
  </si>
  <si>
    <t>2 · Capital structure &amp; market data</t>
  </si>
  <si>
    <t>Shares outstanding</t>
  </si>
  <si>
    <t>m shares</t>
  </si>
  <si>
    <t>q1-26-fs p.24</t>
  </si>
  <si>
    <t>Current share price</t>
  </si>
  <si>
    <t>SAR</t>
  </si>
  <si>
    <t>Market value of equity (E = shares × price)</t>
  </si>
  <si>
    <t>SAR m</t>
  </si>
  <si>
    <t>Interest-bearing debt, Islamic facilities (D)</t>
  </si>
  <si>
    <t>q1-26-fs p.4</t>
  </si>
  <si>
    <t>Cash &amp; equivalents</t>
  </si>
  <si>
    <t>Lease liabilities</t>
  </si>
  <si>
    <t>Net cash (cash − debt − leases)</t>
  </si>
  <si>
    <t>Total capital (V = D + E)</t>
  </si>
  <si>
    <t>Weight of equity (We)</t>
  </si>
  <si>
    <t>Weight of debt (Wd)</t>
  </si>
  <si>
    <t>WACC</t>
  </si>
  <si>
    <t>3 · Terminal, tax &amp; horizon</t>
  </si>
  <si>
    <t>Terminal growth (g)</t>
  </si>
  <si>
    <t>Hold period for IRR</t>
  </si>
  <si>
    <t>years</t>
  </si>
  <si>
    <t>Forecast horizon</t>
  </si>
  <si>
    <t>FY26E–FY30E</t>
  </si>
  <si>
    <t>5 years</t>
  </si>
  <si>
    <t>4 · Operating drivers &amp; margins (analyst)</t>
  </si>
  <si>
    <t>D&amp;A, % of net revenue</t>
  </si>
  <si>
    <t>Capex, % of net revenue</t>
  </si>
  <si>
    <t>ΔNWC, % of change in net revenue</t>
  </si>
  <si>
    <t>Sourced cells (grey) carry the source document + page and a faheem:// deep-link into Faheem's viewer. Gold cells are labelled analyst assumptions, hover any cell for its full rationale.</t>
  </si>
  <si>
    <t>Jahez Group, Revenue Drivers</t>
  </si>
  <si>
    <t>Orders × AOV = GMV → monetisation → net revenue · FY23A–FY25A actuals, FY26E–FY30E driven</t>
  </si>
  <si>
    <t>FY23A</t>
  </si>
  <si>
    <t>FY24A</t>
  </si>
  <si>
    <t>FY25A</t>
  </si>
  <si>
    <t>FY26E</t>
  </si>
  <si>
    <t>FY27E</t>
  </si>
  <si>
    <t>FY28E</t>
  </si>
  <si>
    <t>FY29E</t>
  </si>
  <si>
    <t>FY30E</t>
  </si>
  <si>
    <t>Orders (millions)</t>
  </si>
  <si>
    <t xml:space="preserve">  Orders growth (YoY)</t>
  </si>
  <si>
    <t>Average order value (SAR)</t>
  </si>
  <si>
    <t xml:space="preserve">  AOV growth (YoY)</t>
  </si>
  <si>
    <t>GMV (SAR m)</t>
  </si>
  <si>
    <t xml:space="preserve">  Net-revenue rate (net rev / GMV)</t>
  </si>
  <si>
    <t>Net revenue (SAR m)</t>
  </si>
  <si>
    <t xml:space="preserve">  Commission take rate</t>
  </si>
  <si>
    <t xml:space="preserve">  Commission revenue (memo, SAR m)</t>
  </si>
  <si>
    <t>FY2025 net-revenue segment split (SAR m)</t>
  </si>
  <si>
    <t xml:space="preserve">  Platforms, KSA</t>
  </si>
  <si>
    <t xml:space="preserve">  Platforms, Non-KSA</t>
  </si>
  <si>
    <t xml:space="preserve">  Logistics</t>
  </si>
  <si>
    <t xml:space="preserve">  Others</t>
  </si>
  <si>
    <t xml:space="preserve">  Sum of segments (pre-elimination)</t>
  </si>
  <si>
    <t xml:space="preserve">  Inter-segment eliminations</t>
  </si>
  <si>
    <t xml:space="preserve">  Group net revenue (consolidated)</t>
  </si>
  <si>
    <t>Actuals (grey) sourced from Jahez filings; forecast columns (white) are formula-driven off the gold assumption cells. Segment revenues reconcile to the consolidated group total via inter-segment eliminations.</t>
  </si>
  <si>
    <t>Jahez Group, Summary 3-Statement</t>
  </si>
  <si>
    <t>P&amp;L · balance sheet · cash flow, FY23A–FY25A actual, FY26E–FY30E projected by formula</t>
  </si>
  <si>
    <t>Profit &amp; loss (SAR m)</t>
  </si>
  <si>
    <t>Net revenue</t>
  </si>
  <si>
    <t xml:space="preserve">  Adj. EBITDA margin</t>
  </si>
  <si>
    <t>Adj. EBITDA</t>
  </si>
  <si>
    <t>Depreciation &amp; amortisation</t>
  </si>
  <si>
    <t>EBIT</t>
  </si>
  <si>
    <t>Net income (attributable)</t>
  </si>
  <si>
    <t>Cash flow → FCFF (SAR m)</t>
  </si>
  <si>
    <t>NOPAT (EBIT × (1 − zakat))</t>
  </si>
  <si>
    <t>(+) D&amp;A</t>
  </si>
  <si>
    <t>(−) Capex</t>
  </si>
  <si>
    <t>(−) ΔNWC</t>
  </si>
  <si>
    <t>FCFF (unlevered free cash flow)</t>
  </si>
  <si>
    <t>Balance-sheet summary (SAR m)</t>
  </si>
  <si>
    <t>Interest-bearing debt</t>
  </si>
  <si>
    <t>The projected FCFF row is the base of the DCF. Actual-year FCFF applies the same capex/ΔNWC assumptions to reported figures (capex is not separately disclosed) and is shown for continuity only.</t>
  </si>
  <si>
    <t>Jahez Group, Discounted Cash Flow (FCFF)</t>
  </si>
  <si>
    <t>Explicit FY26E–FY30E PV + Gordon terminal value → enterprise value → equity bridge → value per share</t>
  </si>
  <si>
    <t>FCFF (from 3-Statement)</t>
  </si>
  <si>
    <t xml:space="preserve">  Discount period (years)</t>
  </si>
  <si>
    <t xml:space="preserve">  PV factor @ WACC</t>
  </si>
  <si>
    <t>PV of FCFF</t>
  </si>
  <si>
    <t>Enterprise value → equity → per share (SAR m unless stated)</t>
  </si>
  <si>
    <t>Sum of PV of explicit FCFF (FY26E–FY30E)</t>
  </si>
  <si>
    <t>Terminal FCFF × (1+g)</t>
  </si>
  <si>
    <t>Gordon terminal value (undiscounted)</t>
  </si>
  <si>
    <t>PV of terminal value</t>
  </si>
  <si>
    <t>Enterprise value (EV)</t>
  </si>
  <si>
    <t>(+) Cash &amp; equivalents</t>
  </si>
  <si>
    <t>(−) Interest-bearing debt</t>
  </si>
  <si>
    <t>(−) Lease liabilities</t>
  </si>
  <si>
    <t>Equity value</t>
  </si>
  <si>
    <t>Shares outstanding (m)</t>
  </si>
  <si>
    <t>Value per share (SAR)</t>
  </si>
  <si>
    <t>Current share price (SAR)</t>
  </si>
  <si>
    <t>Every value is a live formula: PV factors read Assumptions!WACC, the terminal value uses Gordon growth, and the equity bridge subtracts debt &amp; leases and adds cash. Change any assumption and the whole chain recomputes.</t>
  </si>
  <si>
    <t>Jahez Group, Sensitivity</t>
  </si>
  <si>
    <t>Live formula grids (no data-table feature), corners recompute from the DCF's own FCFF stream</t>
  </si>
  <si>
    <t>Value per share (SAR), WACC (→) × terminal growth (↓)</t>
  </si>
  <si>
    <t>g \ WACC</t>
  </si>
  <si>
    <t>FY30E Adj. EBITDA (SAR m), GMV growth (→) × net-revenue rate (↓)</t>
  </si>
  <si>
    <t>take \ GMV g</t>
  </si>
  <si>
    <t>Grid 1 cells hold the full DCF closed form, Σ FCFFₜ/(1+WACC)ᵗ + Gordon TV + net cash, all divided by shares, reading each column's WACC and each row's g live. The centre cell equals the DCF value per share exactly.</t>
  </si>
  <si>
    <t>Jahez Group, Trading Comparables</t>
  </si>
  <si>
    <t>Sourced multiples → implied value per share · football field vs DCF · unsourced cells never filled</t>
  </si>
  <si>
    <t>Sourced trading multiples (Market Data &amp; Comparables Snapshot, p.4)</t>
  </si>
  <si>
    <t>Company</t>
  </si>
  <si>
    <t>EV/Revenue</t>
  </si>
  <si>
    <t>EV/EBITDA</t>
  </si>
  <si>
    <t>P/E (TTM)</t>
  </si>
  <si>
    <t>EV/GMV</t>
  </si>
  <si>
    <t>Talabat (DFM: TALABAT)</t>
  </si>
  <si>
    <t>Deliveroo (delisted)</t>
  </si>
  <si>
    <t>Delisted, acquired by DoorDash 2 Oct 2025; no longer a standalone public comp</t>
  </si>
  <si>
    <t>DoorDash (NASDAQ: DASH)</t>
  </si>
  <si>
    <t>Delivery Hero (ETR: DHER)</t>
  </si>
  <si>
    <t>Implied value per share (SAR), multiple × Jahez metric, bridged to equity</t>
  </si>
  <si>
    <t>Jahez FY25A metric (SAR m / SAR)</t>
  </si>
  <si>
    <t xml:space="preserve">  Talabat</t>
  </si>
  <si>
    <t xml:space="preserve">  DoorDash</t>
  </si>
  <si>
    <t xml:space="preserve">  Delivery Hero</t>
  </si>
  <si>
    <t>Football field, implied value range vs DCF</t>
  </si>
  <si>
    <t>Comps implied, minimum</t>
  </si>
  <si>
    <t>Comps implied, median</t>
  </si>
  <si>
    <t>Comps implied, maximum</t>
  </si>
  <si>
    <t>DCF value per share</t>
  </si>
  <si>
    <t>The comp set is deliberately wide (single-market Talabat to scale-premium DoorDash) and trailing metrics are depressed by FY25 one-offs, treat comps as a sense-check on the DCF, not a standalone valuation. EV/GMV and Delivery Hero P/E are 'n/a, not sourced' and are never filled in.</t>
  </si>
  <si>
    <t>Jahez Group, Scenarios &amp; Risk</t>
  </si>
  <si>
    <t>Bull / base / bear DCFs · IRR at entry vs 15% hurdle · scenario-weighted return · quantified risk register</t>
  </si>
  <si>
    <t>Scenario summary</t>
  </si>
  <si>
    <t/>
  </si>
  <si>
    <t>Bull</t>
  </si>
  <si>
    <t>Base</t>
  </si>
  <si>
    <t>Bear</t>
  </si>
  <si>
    <t>Weighted</t>
  </si>
  <si>
    <t>Probability weight</t>
  </si>
  <si>
    <t>g (bull):</t>
  </si>
  <si>
    <t>g (bear):</t>
  </si>
  <si>
    <t>Upside / (downside) vs price</t>
  </si>
  <si>
    <t>IRR at entry (4y hold)</t>
  </si>
  <si>
    <t>Bull case</t>
  </si>
  <si>
    <t>SAR m unless stated</t>
  </si>
  <si>
    <t>Net revenue growth</t>
  </si>
  <si>
    <t>EBITDA margin</t>
  </si>
  <si>
    <t>FCFF</t>
  </si>
  <si>
    <t>Σ PV of explicit FCFF</t>
  </si>
  <si>
    <t>Enterprise value</t>
  </si>
  <si>
    <t>Equity value (+ net cash)</t>
  </si>
  <si>
    <t>Upside vs price</t>
  </si>
  <si>
    <t>IRR at entry (4y)</t>
  </si>
  <si>
    <t>Base case</t>
  </si>
  <si>
    <t>Bear case</t>
  </si>
  <si>
    <t>Quantified risk register (probability × impact, 1–5)</t>
  </si>
  <si>
    <t>Risk</t>
  </si>
  <si>
    <t>P</t>
  </si>
  <si>
    <t>I</t>
  </si>
  <si>
    <t>Score</t>
  </si>
  <si>
    <t>Mitigation</t>
  </si>
  <si>
    <t>Cite</t>
  </si>
  <si>
    <t>Price-war margin compression (Keeta/Meituan-funded discounting)</t>
  </si>
  <si>
    <t>Shift to cost discipline &amp; logistics mix; monitor take-rate and contribution margin per order</t>
  </si>
  <si>
    <t>industry-news-pack p.2, p.4</t>
  </si>
  <si>
    <t>Well-capitalised new entrants (Rabbit, Ninja unicorn, Dingdong)</t>
  </si>
  <si>
    <t>Scale &amp; fulfilment-density moat; Snoonu regional expansion</t>
  </si>
  <si>
    <t>industry-news-pack p.2</t>
  </si>
  <si>
    <t>Earnings volatility / one-offs (SAR 55m Q4-25; Q1-26 net loss)</t>
  </si>
  <si>
    <t>One-offs largely non-recurring; H2-2026 profitability guidance</t>
  </si>
  <si>
    <t>industry-news-pack p.4; fy25-earnings-call p.6</t>
  </si>
  <si>
    <t>Snoonu integration / near-term margin dilution</t>
  </si>
  <si>
    <t>Snoonu FY25 adj. EBITDA +53.7m (profitable), accretive at scale</t>
  </si>
  <si>
    <t>fy25-er p.6</t>
  </si>
  <si>
    <t>Valuation-data ambiguity (203m vs 217m shares; 92.8x trailing P/E)</t>
  </si>
  <si>
    <t>Reconcile Tadawul share register; use normalised/forward multiples</t>
  </si>
  <si>
    <t>WACC / terminal-value sensitivity (value ∝ WACC−g spread)</t>
  </si>
  <si>
    <t>Sensitivity grid; conservative g=3.0%; bottom-up beta as next step</t>
  </si>
  <si>
    <t>Sensitivity tab; Assumptions</t>
  </si>
  <si>
    <t>Composite risk score (0–10, peak-weighted)</t>
  </si>
  <si>
    <t>Bull/base/bear are full FCFF DCFs sharing the WACC build; only the operating drivers and terminal growth differ. IRR uses the documented exit convention (value compounds at Ke; price converges to value). Risk cites reference the Industry &amp; News Pack pages.</t>
  </si>
  <si>
    <t>Jahez Group, Compliance Screen (AAOIFI-style)</t>
  </si>
  <si>
    <t>Financial-ratio screens by formula from the balance sheet · pass/fail flags</t>
  </si>
  <si>
    <t>Financial-ratio screens</t>
  </si>
  <si>
    <t>Screen</t>
  </si>
  <si>
    <t>Value</t>
  </si>
  <si>
    <t>Threshold</t>
  </si>
  <si>
    <t>Flag</t>
  </si>
  <si>
    <t>Basis</t>
  </si>
  <si>
    <t>Interest-bearing debt / market cap</t>
  </si>
  <si>
    <t>Islamic facilities &amp; loans over market value of equity (AAOIFI leverage screen, &lt;33%)</t>
  </si>
  <si>
    <t>Cash &amp; interest-bearing securities / market cap</t>
  </si>
  <si>
    <t>Cash only, interest-bearing securities not separately disclosed; screened on cash (&lt;33%)</t>
  </si>
  <si>
    <t xml:space="preserve">  Memo: (debt + leases) / market cap</t>
  </si>
  <si>
    <t>IFRS-16 leases included (stricter view), still passes</t>
  </si>
  <si>
    <t>Non-eligible income / total revenue</t>
  </si>
  <si>
    <t>n/d</t>
  </si>
  <si>
    <t>PASS*</t>
  </si>
  <si>
    <t>Not separately disclosed, screened via business-activity test (eligible food delivery/logistics; Islamic financing)</t>
  </si>
  <si>
    <t>Overall Compliance screen</t>
  </si>
  <si>
    <t>* Non-eligible income is not separately disclosed in the filings; per AAOIFI practice the position is screened via the business-activity test rather than a fabricated percentage. Leverage and liquidity screens both pass with wide headroom; the business is eligible and financed through Islamic facilities.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</si>
</sst>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&quot;SAR &quot;#,##0.00"/>
    <numFmt numFmtId="165" formatCode="0.0%"/>
    <numFmt numFmtId="166" formatCode="0.0"/>
    <numFmt numFmtId="167" formatCode="0.00%;(0.00%)"/>
    <numFmt numFmtId="168" formatCode="#,##0.0"/>
    <numFmt numFmtId="169" formatCode="#,##0.0;(#,##0.0)"/>
    <numFmt numFmtId="170" formatCode="0.0%;(0.0%)"/>
    <numFmt numFmtId="171" formatCode="0.0000"/>
    <numFmt numFmtId="172" formatCode="0.00&quot;x&quot;"/>
  </numFmts>
  <fonts count="27" x14ac:knownFonts="1">
    <font>
      <color theme="1"/>
      <family val="2"/>
      <scheme val="minor"/>
      <sz val="11"/>
      <name val="Calibri"/>
    </font>
    <font>
      <b/>
      <color rgb="FFF5F1E6"/>
      <sz val="26"/>
      <name val="Georgia"/>
    </font>
    <font>
      <i/>
      <color rgb="FFB08D2A"/>
      <sz val="13"/>
      <name val="Georgia"/>
    </font>
    <font>
      <b/>
      <color rgb="FF3E6B49"/>
      <sz val="30"/>
      <name val="Georgia"/>
    </font>
    <font>
      <i/>
      <color rgb="FF6B6455"/>
      <sz val="10"/>
      <name val="Arial"/>
    </font>
    <font>
      <b/>
      <color rgb="FF6B6455"/>
      <sz val="9"/>
      <name val="Arial"/>
    </font>
    <font>
      <b/>
      <color rgb="FF2A2620"/>
      <sz val="18"/>
      <name val="Georgia"/>
    </font>
    <font>
      <b/>
      <color rgb="FF514B40"/>
      <sz val="18"/>
      <name val="Georgia"/>
    </font>
    <font>
      <b/>
      <color rgb="FF3E6B49"/>
      <sz val="18"/>
      <name val="Georgia"/>
    </font>
    <font>
      <i/>
      <color rgb="FF6B6455"/>
      <sz val="8"/>
      <name val="Arial"/>
    </font>
    <font>
      <b/>
      <color rgb="FFF5F1E6"/>
      <sz val="16"/>
      <name val="Georgia"/>
    </font>
    <font>
      <i/>
      <color rgb="FFB08D2A"/>
      <sz val="10"/>
      <name val="Georgia"/>
    </font>
    <font>
      <b/>
      <color rgb="FF2A2620"/>
      <sz val="11"/>
      <name val="Georgia"/>
    </font>
    <font>
      <color rgb="FF2A2620"/>
      <sz val="10"/>
      <name val="Arial"/>
    </font>
    <font>
      <color rgb="FF6B6455"/>
      <sz val="9"/>
      <name val="Arial"/>
    </font>
    <font>
      <u/>
      <color rgb="FFB08D2A"/>
      <sz val="9"/>
      <name val="Arial"/>
    </font>
    <font>
      <i/>
      <color rgb="FF6B6455"/>
      <sz val="9"/>
      <name val="Arial"/>
    </font>
    <font>
      <b/>
      <color rgb="FF2A2620"/>
      <sz val="10"/>
      <name val="Arial"/>
    </font>
    <font>
      <b/>
      <color rgb="FFF5F1E6"/>
      <sz val="10"/>
      <name val="Arial"/>
    </font>
    <font>
      <color rgb="FF2A2620"/>
      <sz val="9"/>
      <name val="Arial"/>
    </font>
    <font>
      <i/>
      <color rgb="FF2A2620"/>
      <sz val="10"/>
      <name val="Arial"/>
    </font>
    <font>
      <b/>
      <color rgb="FF2A2620"/>
      <sz val="9"/>
      <name val="Arial"/>
    </font>
    <font>
      <b/>
      <color rgb="FFF5F1E6"/>
      <sz val="9"/>
      <name val="Arial"/>
    </font>
    <font>
      <i/>
      <color rgb="FFB08D2A"/>
      <sz val="8"/>
      <name val="Arial"/>
    </font>
    <font>
      <b/>
      <color rgb="FF3E6B49"/>
      <sz val="10"/>
      <name val="Arial"/>
    </font>
    <font>
      <b/>
      <color rgb="FF3E6B49"/>
      <sz val="9"/>
      <name val="Arial"/>
    </font>
    <font>
      <b/>
      <color rgb="FF3E6B49"/>
      <sz val="13"/>
      <name val="Georgia"/>
    </font>
  </fonts>
  <fills count="10">
    <fill>
      <patternFill patternType="none"/>
    </fill>
    <fill>
      <patternFill patternType="gray125"/>
    </fill>
    <fill>
      <patternFill patternType="solid">
        <fgColor rgb="FF2A2620"/>
      </patternFill>
    </fill>
    <fill>
      <patternFill patternType="solid">
        <fgColor rgb="FFFBF9F4"/>
      </patternFill>
    </fill>
    <fill>
      <patternFill patternType="solid">
        <fgColor rgb="FFEDE8DC"/>
      </patternFill>
    </fill>
    <fill>
      <patternFill patternType="solid">
        <fgColor rgb="FFF3F0E9"/>
      </patternFill>
    </fill>
    <fill>
      <patternFill patternType="solid">
        <fgColor rgb="FFEFE6CE"/>
      </patternFill>
    </fill>
    <fill>
      <patternFill patternType="solid">
        <fgColor rgb="FFFFFFFF"/>
      </patternFill>
    </fill>
    <fill>
      <patternFill patternType="solid">
        <fgColor rgb="FF514B40"/>
      </patternFill>
    </fill>
    <fill>
      <patternFill patternType="solid">
        <fgColor rgb="FFE4EDE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B08D2A"/>
      </bottom>
      <diagonal/>
    </border>
    <border>
      <left style="medium">
        <color rgb="FFB08D2A"/>
      </left>
      <right/>
      <top style="thin">
        <color rgb="FFD8D2C4"/>
      </top>
      <bottom/>
      <diagonal/>
    </border>
    <border>
      <left style="medium">
        <color rgb="FFB08D2A"/>
      </left>
      <right/>
      <top/>
      <bottom style="thin">
        <color rgb="FFD8D2C4"/>
      </bottom>
      <diagonal/>
    </border>
    <border>
      <left/>
      <right/>
      <top/>
      <bottom style="thin">
        <color rgb="FFB08D2A"/>
      </bottom>
      <diagonal/>
    </border>
    <border>
      <left style="thin">
        <color rgb="FFD8D2C4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>
      <left style="medium">
        <color rgb="FFB08D2A"/>
      </left>
      <right style="thin">
        <color rgb="FFD8D2C4"/>
      </right>
      <top style="thin">
        <color rgb="FFD8D2C4"/>
      </top>
      <bottom style="thin">
        <color rgb="FFD8D2C4"/>
      </bottom>
      <diagonal/>
    </border>
    <border>
      <left style="thin">
        <color rgb="FFB7AF9C"/>
      </left>
      <right style="thin">
        <color rgb="FFB7AF9C"/>
      </right>
      <top style="medium">
        <color rgb="FF2A2620"/>
      </top>
      <bottom style="thin">
        <color rgb="FFB7AF9C"/>
      </bottom>
      <diagonal/>
    </border>
    <border>
      <left style="thin">
        <color rgb="FFB08D2A"/>
      </left>
      <right style="thin">
        <color rgb="FFB08D2A"/>
      </right>
      <top style="thin">
        <color rgb="FFB08D2A"/>
      </top>
      <bottom style="thin">
        <color rgb="FFB08D2A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2" borderId="0" xfId="0" applyFont="1" applyFill="1" applyAlignment="1">
      <alignment horizontal="left" vertical="center" indent="2"/>
    </xf>
    <xf numFmtId="0" fontId="0" fillId="2" borderId="1" xfId="0" applyFill="1" applyBorder="1"/>
    <xf numFmtId="0" fontId="3" fillId="0" borderId="0" xfId="0" applyFont="1" applyAlignment="1">
      <alignment horizontal="left" vertical="center" indent="2"/>
    </xf>
    <xf numFmtId="0" fontId="4" fillId="0" borderId="0" xfId="0" applyFont="1" applyAlignment="1">
      <alignment horizontal="right" vertical="center" wrapText="1" indent="1"/>
    </xf>
    <xf numFmtId="0" fontId="5" fillId="3" borderId="2" xfId="0" applyFont="1" applyFill="1" applyBorder="1" applyAlignment="1">
      <alignment horizontal="left" indent="1"/>
    </xf>
    <xf numFmtId="164" fontId="6" fillId="3" borderId="3" xfId="0" applyNumberFormat="1" applyFont="1" applyFill="1" applyBorder="1" applyAlignment="1">
      <alignment horizontal="left" indent="1"/>
    </xf>
    <xf numFmtId="164" fontId="7" fillId="3" borderId="3" xfId="0" applyNumberFormat="1" applyFont="1" applyFill="1" applyBorder="1" applyAlignment="1">
      <alignment horizontal="left" indent="1"/>
    </xf>
    <xf numFmtId="165" fontId="8" fillId="3" borderId="3" xfId="0" applyNumberFormat="1" applyFont="1" applyFill="1" applyBorder="1" applyAlignment="1">
      <alignment horizontal="left" indent="1"/>
    </xf>
    <xf numFmtId="165" fontId="6" fillId="3" borderId="3" xfId="0" applyNumberFormat="1" applyFont="1" applyFill="1" applyBorder="1" applyAlignment="1">
      <alignment horizontal="left" indent="1"/>
    </xf>
    <xf numFmtId="165" fontId="7" fillId="3" borderId="3" xfId="0" applyNumberFormat="1" applyFont="1" applyFill="1" applyBorder="1" applyAlignment="1">
      <alignment horizontal="left" indent="1"/>
    </xf>
    <xf numFmtId="0" fontId="8" fillId="3" borderId="3" xfId="0" applyFont="1" applyFill="1" applyBorder="1" applyAlignment="1">
      <alignment horizontal="left" indent="1"/>
    </xf>
    <xf numFmtId="166" fontId="7" fillId="3" borderId="3" xfId="0" applyNumberFormat="1" applyFont="1" applyFill="1" applyBorder="1" applyAlignment="1">
      <alignment horizontal="left" indent="1"/>
    </xf>
    <xf numFmtId="0" fontId="9" fillId="0" borderId="0" xfId="0" applyFont="1" applyAlignment="1">
      <alignment horizontal="left" vertical="top" wrapText="1" indent="1"/>
    </xf>
    <xf numFmtId="0" fontId="10" fillId="2" borderId="0" xfId="0" applyFont="1" applyFill="1" applyAlignment="1">
      <alignment horizontal="left" vertical="center" indent="1"/>
    </xf>
    <xf numFmtId="0" fontId="11" fillId="2" borderId="1" xfId="0" applyFont="1" applyFill="1" applyBorder="1" applyAlignment="1">
      <alignment horizontal="left" vertical="center" indent="1"/>
    </xf>
    <xf numFmtId="0" fontId="12" fillId="4" borderId="4" xfId="0" applyFont="1" applyFill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167" fontId="13" fillId="5" borderId="5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2" fontId="13" fillId="5" borderId="5" xfId="0" applyNumberFormat="1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right" vertical="center"/>
    </xf>
    <xf numFmtId="2" fontId="13" fillId="6" borderId="6" xfId="0" applyNumberFormat="1" applyFont="1" applyFill="1" applyBorder="1" applyAlignment="1">
      <alignment horizontal="left" vertical="center"/>
    </xf>
    <xf numFmtId="0" fontId="16" fillId="0" borderId="0" xfId="0" applyFont="1"/>
    <xf numFmtId="167" fontId="13" fillId="7" borderId="5" xfId="0" applyNumberFormat="1" applyFont="1" applyFill="1" applyBorder="1" applyAlignment="1">
      <alignment horizontal="left" vertical="center"/>
    </xf>
    <xf numFmtId="167" fontId="13" fillId="6" borderId="6" xfId="0" applyNumberFormat="1" applyFont="1" applyFill="1" applyBorder="1" applyAlignment="1">
      <alignment horizontal="right" vertical="center"/>
    </xf>
    <xf numFmtId="168" fontId="13" fillId="5" borderId="5" xfId="0" applyNumberFormat="1" applyFont="1" applyFill="1" applyBorder="1" applyAlignment="1">
      <alignment horizontal="right" vertical="center"/>
    </xf>
    <xf numFmtId="4" fontId="13" fillId="5" borderId="5" xfId="0" applyNumberFormat="1" applyFont="1" applyFill="1" applyBorder="1" applyAlignment="1">
      <alignment horizontal="right" vertical="center"/>
    </xf>
    <xf numFmtId="169" fontId="13" fillId="7" borderId="5" xfId="0" applyNumberFormat="1" applyFont="1" applyFill="1" applyBorder="1" applyAlignment="1">
      <alignment horizontal="left" vertical="center"/>
    </xf>
    <xf numFmtId="169" fontId="13" fillId="5" borderId="5" xfId="0" applyNumberFormat="1" applyFont="1" applyFill="1" applyBorder="1" applyAlignment="1">
      <alignment horizontal="right" vertical="center"/>
    </xf>
    <xf numFmtId="170" fontId="13" fillId="7" borderId="5" xfId="0" applyNumberFormat="1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 indent="1"/>
    </xf>
    <xf numFmtId="167" fontId="17" fillId="4" borderId="7" xfId="0" applyNumberFormat="1" applyFont="1" applyFill="1" applyBorder="1" applyAlignment="1">
      <alignment horizontal="left" vertical="center"/>
    </xf>
    <xf numFmtId="1" fontId="13" fillId="6" borderId="6" xfId="0" applyNumberFormat="1" applyFont="1" applyFill="1" applyBorder="1" applyAlignment="1">
      <alignment horizontal="right" vertical="center"/>
    </xf>
    <xf numFmtId="0" fontId="13" fillId="6" borderId="6" xfId="0" applyFont="1" applyFill="1" applyBorder="1" applyAlignment="1">
      <alignment horizontal="right" vertical="center"/>
    </xf>
    <xf numFmtId="170" fontId="13" fillId="6" borderId="6" xfId="0" applyNumberFormat="1" applyFont="1" applyFill="1" applyBorder="1" applyAlignment="1">
      <alignment horizontal="right" vertical="center"/>
    </xf>
    <xf numFmtId="0" fontId="0" fillId="2" borderId="4" xfId="0" applyFill="1" applyBorder="1"/>
    <xf numFmtId="0" fontId="18" fillId="8" borderId="4" xfId="0" applyFont="1" applyFill="1" applyBorder="1" applyAlignment="1">
      <alignment horizontal="right" vertical="center" indent="1"/>
    </xf>
    <xf numFmtId="0" fontId="18" fillId="2" borderId="4" xfId="0" applyFont="1" applyFill="1" applyBorder="1" applyAlignment="1">
      <alignment horizontal="right" vertical="center" indent="1"/>
    </xf>
    <xf numFmtId="168" fontId="13" fillId="7" borderId="5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170" fontId="19" fillId="6" borderId="6" xfId="0" applyNumberFormat="1" applyFont="1" applyFill="1" applyBorder="1" applyAlignment="1">
      <alignment horizontal="right" vertical="center"/>
    </xf>
    <xf numFmtId="4" fontId="13" fillId="7" borderId="5" xfId="0" applyNumberFormat="1" applyFont="1" applyFill="1" applyBorder="1" applyAlignment="1">
      <alignment horizontal="left" vertical="center"/>
    </xf>
    <xf numFmtId="169" fontId="17" fillId="7" borderId="5" xfId="0" applyNumberFormat="1" applyFont="1" applyFill="1" applyBorder="1" applyAlignment="1">
      <alignment horizontal="left" vertical="center"/>
    </xf>
    <xf numFmtId="170" fontId="19" fillId="7" borderId="5" xfId="0" applyNumberFormat="1" applyFont="1" applyFill="1" applyBorder="1" applyAlignment="1">
      <alignment horizontal="left" vertical="center"/>
    </xf>
    <xf numFmtId="169" fontId="17" fillId="5" borderId="5" xfId="0" applyNumberFormat="1" applyFont="1" applyFill="1" applyBorder="1" applyAlignment="1">
      <alignment horizontal="right" vertical="center"/>
    </xf>
    <xf numFmtId="169" fontId="17" fillId="4" borderId="7" xfId="0" applyNumberFormat="1" applyFont="1" applyFill="1" applyBorder="1" applyAlignment="1">
      <alignment horizontal="left" vertical="center"/>
    </xf>
    <xf numFmtId="170" fontId="19" fillId="5" borderId="5" xfId="0" applyNumberFormat="1" applyFont="1" applyFill="1" applyBorder="1" applyAlignment="1">
      <alignment horizontal="right" vertical="center"/>
    </xf>
    <xf numFmtId="169" fontId="19" fillId="5" borderId="5" xfId="0" applyNumberFormat="1" applyFont="1" applyFill="1" applyBorder="1" applyAlignment="1">
      <alignment horizontal="right" vertical="center"/>
    </xf>
    <xf numFmtId="169" fontId="19" fillId="7" borderId="5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left" vertical="center" indent="1"/>
    </xf>
    <xf numFmtId="169" fontId="20" fillId="7" borderId="5" xfId="0" applyNumberFormat="1" applyFont="1" applyFill="1" applyBorder="1" applyAlignment="1">
      <alignment horizontal="left" vertical="center"/>
    </xf>
    <xf numFmtId="169" fontId="17" fillId="5" borderId="5" xfId="0" applyNumberFormat="1" applyFont="1" applyFill="1" applyBorder="1" applyAlignment="1">
      <alignment horizontal="left" vertical="center"/>
    </xf>
    <xf numFmtId="1" fontId="19" fillId="7" borderId="5" xfId="0" applyNumberFormat="1" applyFont="1" applyFill="1" applyBorder="1" applyAlignment="1">
      <alignment horizontal="right" vertical="center"/>
    </xf>
    <xf numFmtId="171" fontId="19" fillId="7" borderId="5" xfId="0" applyNumberFormat="1" applyFont="1" applyFill="1" applyBorder="1" applyAlignment="1">
      <alignment horizontal="left" vertical="center"/>
    </xf>
    <xf numFmtId="4" fontId="17" fillId="4" borderId="7" xfId="0" applyNumberFormat="1" applyFont="1" applyFill="1" applyBorder="1" applyAlignment="1">
      <alignment horizontal="left" vertical="center"/>
    </xf>
    <xf numFmtId="170" fontId="17" fillId="4" borderId="7" xfId="0" applyNumberFormat="1" applyFont="1" applyFill="1" applyBorder="1" applyAlignment="1">
      <alignment horizontal="left" vertical="center"/>
    </xf>
    <xf numFmtId="167" fontId="17" fillId="6" borderId="6" xfId="0" applyNumberFormat="1" applyFont="1" applyFill="1" applyBorder="1" applyAlignment="1">
      <alignment horizontal="center" vertical="center"/>
    </xf>
    <xf numFmtId="167" fontId="17" fillId="6" borderId="6" xfId="0" applyNumberFormat="1" applyFont="1" applyFill="1" applyBorder="1" applyAlignment="1">
      <alignment horizontal="left" vertical="center"/>
    </xf>
    <xf numFmtId="170" fontId="17" fillId="6" borderId="6" xfId="0" applyNumberFormat="1" applyFont="1" applyFill="1" applyBorder="1" applyAlignment="1">
      <alignment horizontal="center" vertical="center"/>
    </xf>
    <xf numFmtId="170" fontId="17" fillId="6" borderId="6" xfId="0" applyNumberFormat="1" applyFont="1" applyFill="1" applyBorder="1" applyAlignment="1">
      <alignment horizontal="right" vertical="center"/>
    </xf>
    <xf numFmtId="0" fontId="18" fillId="2" borderId="4" xfId="0" applyFont="1" applyFill="1" applyBorder="1" applyAlignment="1">
      <alignment horizontal="left" vertical="center" indent="1"/>
    </xf>
    <xf numFmtId="172" fontId="13" fillId="5" borderId="5" xfId="0" applyNumberFormat="1" applyFont="1" applyFill="1" applyBorder="1" applyAlignment="1">
      <alignment horizontal="right" vertical="center"/>
    </xf>
    <xf numFmtId="0" fontId="16" fillId="3" borderId="5" xfId="0" applyFont="1" applyFill="1" applyBorder="1" applyAlignment="1">
      <alignment horizontal="right" vertical="center" indent="1"/>
    </xf>
    <xf numFmtId="0" fontId="16" fillId="0" borderId="0" xfId="0" applyFont="1" applyAlignment="1">
      <alignment horizontal="left" indent="1"/>
    </xf>
    <xf numFmtId="4" fontId="13" fillId="5" borderId="5" xfId="0" applyNumberFormat="1" applyFont="1" applyFill="1" applyBorder="1" applyAlignment="1">
      <alignment horizontal="left" vertical="center"/>
    </xf>
    <xf numFmtId="4" fontId="17" fillId="7" borderId="5" xfId="0" applyNumberFormat="1" applyFont="1" applyFill="1" applyBorder="1" applyAlignment="1">
      <alignment horizontal="left" vertical="center"/>
    </xf>
    <xf numFmtId="170" fontId="17" fillId="7" borderId="5" xfId="0" applyNumberFormat="1" applyFont="1" applyFill="1" applyBorder="1" applyAlignment="1">
      <alignment horizontal="left" vertical="center"/>
    </xf>
    <xf numFmtId="0" fontId="21" fillId="6" borderId="0" xfId="0" applyFont="1" applyFill="1" applyAlignment="1">
      <alignment horizontal="right" indent="1"/>
    </xf>
    <xf numFmtId="0" fontId="21" fillId="5" borderId="0" xfId="0" applyFont="1" applyFill="1" applyAlignment="1">
      <alignment horizontal="right" indent="1"/>
    </xf>
    <xf numFmtId="0" fontId="21" fillId="4" borderId="0" xfId="0" applyFont="1" applyFill="1" applyAlignment="1">
      <alignment horizontal="right" indent="1"/>
    </xf>
    <xf numFmtId="0" fontId="22" fillId="2" borderId="0" xfId="0" applyFont="1" applyFill="1" applyAlignment="1">
      <alignment horizontal="left" indent="1"/>
    </xf>
    <xf numFmtId="0" fontId="22" fillId="2" borderId="0" xfId="0" applyFont="1" applyFill="1" applyAlignment="1">
      <alignment horizontal="center" indent="1"/>
    </xf>
    <xf numFmtId="0" fontId="19" fillId="0" borderId="0" xfId="0" applyFont="1" applyAlignment="1">
      <alignment horizontal="left" vertical="center" indent="1"/>
    </xf>
    <xf numFmtId="1" fontId="19" fillId="6" borderId="6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23" fillId="0" borderId="0" xfId="0" applyFont="1"/>
    <xf numFmtId="166" fontId="17" fillId="4" borderId="7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indent="1"/>
    </xf>
    <xf numFmtId="0" fontId="18" fillId="2" borderId="4" xfId="0" applyFont="1" applyFill="1" applyBorder="1" applyAlignment="1">
      <alignment horizontal="center" indent="1"/>
    </xf>
    <xf numFmtId="167" fontId="13" fillId="0" borderId="0" xfId="0" applyNumberFormat="1" applyFont="1" applyAlignment="1">
      <alignment horizontal="center" vertical="center"/>
    </xf>
    <xf numFmtId="0" fontId="24" fillId="9" borderId="5" xfId="0" applyFont="1" applyFill="1" applyBorder="1" applyAlignment="1">
      <alignment horizontal="center"/>
    </xf>
    <xf numFmtId="167" fontId="19" fillId="7" borderId="5" xfId="0" applyNumberFormat="1" applyFont="1" applyFill="1" applyBorder="1" applyAlignment="1">
      <alignment horizontal="left" vertical="center"/>
    </xf>
    <xf numFmtId="167" fontId="19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4" fillId="3" borderId="5" xfId="0" applyFont="1" applyFill="1" applyBorder="1" applyAlignment="1">
      <alignment horizontal="right" indent="1"/>
    </xf>
    <xf numFmtId="0" fontId="26" fillId="6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faheem://doc/market-data-comps/2" TargetMode="External"/><Relationship Id="rId2" Type="http://schemas.openxmlformats.org/officeDocument/2006/relationships/hyperlink" Target="faheem://doc/market-data-comps/2" TargetMode="External"/><Relationship Id="rId3" Type="http://schemas.openxmlformats.org/officeDocument/2006/relationships/hyperlink" Target="faheem://doc/market-data-comps/3" TargetMode="External"/><Relationship Id="rId4" Type="http://schemas.openxmlformats.org/officeDocument/2006/relationships/hyperlink" Target="faheem://doc/market-data-comps/3" TargetMode="External"/><Relationship Id="rId5" Type="http://schemas.openxmlformats.org/officeDocument/2006/relationships/hyperlink" Target="faheem://doc/market-data-comps/3" TargetMode="External"/><Relationship Id="rId6" Type="http://schemas.openxmlformats.org/officeDocument/2006/relationships/hyperlink" Target="faheem://doc/q1-26-fs/24" TargetMode="External"/><Relationship Id="rId7" Type="http://schemas.openxmlformats.org/officeDocument/2006/relationships/hyperlink" Target="faheem://doc/market-data-comps/2" TargetMode="External"/><Relationship Id="rId8" Type="http://schemas.openxmlformats.org/officeDocument/2006/relationships/hyperlink" Target="faheem://doc/q1-26-fs/4" TargetMode="External"/><Relationship Id="rId9" Type="http://schemas.openxmlformats.org/officeDocument/2006/relationships/hyperlink" Target="faheem://doc/q1-26-fs/4" TargetMode="External"/><Relationship Id="rId10" Type="http://schemas.openxmlformats.org/officeDocument/2006/relationships/hyperlink" Target="faheem://doc/q1-26-fs/4" TargetMode="External"/><Relationship Id="rId11" Type="http://schemas.openxmlformats.org/officeDocument/2006/relationships/comments" Target="../comments2.xml"/><Relationship Id="rId1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E17"/>
  <sheetFormatPr defaultRowHeight="15" outlineLevelRow="0" outlineLevelCol="0" x14ac:dyDescent="55"/>
  <cols>
    <col min="1" max="1" width="3" customWidth="1"/>
    <col min="2" max="2" width="34" customWidth="1"/>
    <col min="3" max="4" width="22" customWidth="1"/>
    <col min="5" max="5" width="24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8" customHeight="1" spans="1:5" x14ac:dyDescent="0.25">
      <c r="A3" s="3"/>
      <c r="B3" s="3"/>
      <c r="C3" s="3"/>
      <c r="D3" s="3"/>
      <c r="E3" s="3"/>
    </row>
    <row r="5" ht="42" customHeight="1" spans="2:5" x14ac:dyDescent="0.25">
      <c r="B5" s="4" t="str">
        <f>IF('Scenarios &amp; Risk'!F9&gt;=0.15,"BUY",IF('DCF'!E22&gt;=0,"HOLD","REDUCE"))</f>
        <v>BUY</v>
      </c>
      <c r="C5" s="4"/>
      <c r="D5" s="5" t="s">
        <v>2</v>
      </c>
      <c r="E5" s="5"/>
    </row>
    <row r="7" spans="2:4" x14ac:dyDescent="0.25">
      <c r="B7" s="6" t="s">
        <v>3</v>
      </c>
      <c r="C7" s="6" t="s">
        <v>4</v>
      </c>
      <c r="D7" s="6" t="s">
        <v>5</v>
      </c>
    </row>
    <row r="8" spans="2:4" x14ac:dyDescent="0.25">
      <c r="B8" s="7">
        <f>'DCF'!E20</f>
        <v>14.3638147029964</v>
      </c>
      <c r="C8" s="8">
        <f>'Assumptions'!C18</f>
        <v>12.79</v>
      </c>
      <c r="D8" s="9">
        <f>'DCF'!E22</f>
        <v>0.12305040680190782</v>
      </c>
    </row>
    <row r="10" spans="2:4" x14ac:dyDescent="0.25">
      <c r="B10" s="6" t="s">
        <v>6</v>
      </c>
      <c r="C10" s="6" t="s">
        <v>7</v>
      </c>
      <c r="D10" s="6" t="s">
        <v>8</v>
      </c>
    </row>
    <row r="11" spans="2:4" x14ac:dyDescent="0.25">
      <c r="B11" s="10">
        <f>'Scenarios &amp; Risk'!D9</f>
        <v>0.17065733106145453</v>
      </c>
      <c r="C11" s="9">
        <f>'Scenarios &amp; Risk'!F9</f>
        <v>0.16768822193164545</v>
      </c>
      <c r="D11" s="11">
        <f>0.15</f>
        <v>0.15</v>
      </c>
    </row>
    <row r="13" spans="2:4" x14ac:dyDescent="0.25">
      <c r="B13" s="6" t="s">
        <v>9</v>
      </c>
      <c r="C13" s="6" t="s">
        <v>10</v>
      </c>
      <c r="D13" s="6" t="s">
        <v>11</v>
      </c>
    </row>
    <row r="14" spans="2:4" x14ac:dyDescent="0.25">
      <c r="B14" s="12" t="str">
        <f>'Compliance Screen'!E11</f>
        <v>PASS</v>
      </c>
      <c r="C14" s="13">
        <f>'Scenarios &amp; Risk'!E59</f>
        <v>5.493333333333334</v>
      </c>
      <c r="D14" s="7">
        <f>'Scenarios &amp; Risk'!F7</f>
        <v>14.498372989614085</v>
      </c>
    </row>
    <row r="17" ht="42" customHeight="1" spans="2:5" x14ac:dyDescent="0.25">
      <c r="B17" s="14" t="s">
        <v>12</v>
      </c>
      <c r="C17" s="14"/>
      <c r="D17" s="14"/>
      <c r="E17" s="14"/>
    </row>
  </sheetData>
  <mergeCells count="6">
    <mergeCell ref="A1:E1"/>
    <mergeCell ref="A2:E2"/>
    <mergeCell ref="A3:E3"/>
    <mergeCell ref="B5:C5"/>
    <mergeCell ref="D5:E5"/>
    <mergeCell ref="B17:E17"/>
  </mergeCells>
  <pageMargins left="0.4" right="0.4" top="0.5" bottom="0.5" header="0.3" footer="0.3"/>
  <pageSetup orientation="portrait" fitToWidth="1" fitToHeight="0"/>
  <headerFooter>
    <oddFooter>&amp;L&amp;"Georgia"Lunar Investments · Jahez valuation&amp;R&amp;P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E3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2" customWidth="1"/>
    <col min="3" max="3" width="15" customWidth="1"/>
    <col min="4" max="4" width="12" customWidth="1"/>
    <col min="5" max="5" width="40" customWidth="1"/>
  </cols>
  <sheetData>
    <row r="1" ht="30" customHeight="1" spans="1:5" x14ac:dyDescent="0.25">
      <c r="A1" s="15" t="s">
        <v>13</v>
      </c>
      <c r="B1" s="15"/>
      <c r="C1" s="15"/>
      <c r="D1" s="15"/>
      <c r="E1" s="15"/>
    </row>
    <row r="2" ht="16" customHeight="1" spans="1:5" x14ac:dyDescent="0.25">
      <c r="A2" s="16" t="s">
        <v>14</v>
      </c>
      <c r="B2" s="16"/>
      <c r="C2" s="16"/>
      <c r="D2" s="16"/>
      <c r="E2" s="16"/>
    </row>
    <row r="4" ht="20" customHeight="1" spans="2:5" x14ac:dyDescent="0.25">
      <c r="B4" s="17" t="s">
        <v>15</v>
      </c>
      <c r="C4" s="17"/>
      <c r="D4" s="17"/>
      <c r="E4" s="17"/>
    </row>
    <row r="5" spans="2:5" x14ac:dyDescent="0.25">
      <c r="B5" s="18" t="s">
        <v>16</v>
      </c>
      <c r="C5" s="19">
        <v>0.046</v>
      </c>
      <c r="D5" s="20" t="s">
        <v>17</v>
      </c>
      <c r="E5" s="21" t="s">
        <v>18</v>
      </c>
    </row>
    <row r="6" spans="2:5" x14ac:dyDescent="0.25">
      <c r="B6" s="18" t="s">
        <v>19</v>
      </c>
      <c r="C6" s="19">
        <v>0.0501</v>
      </c>
      <c r="D6" s="20" t="s">
        <v>17</v>
      </c>
      <c r="E6" s="21" t="s">
        <v>18</v>
      </c>
    </row>
    <row r="7" spans="2:5" x14ac:dyDescent="0.25">
      <c r="B7" s="18" t="s">
        <v>20</v>
      </c>
      <c r="C7" s="22">
        <v>1.78</v>
      </c>
      <c r="D7" s="20" t="s">
        <v>21</v>
      </c>
      <c r="E7" s="21" t="s">
        <v>22</v>
      </c>
    </row>
    <row r="8" spans="2:5" x14ac:dyDescent="0.25">
      <c r="B8" s="18" t="s">
        <v>23</v>
      </c>
      <c r="C8" s="22">
        <v>1.86</v>
      </c>
      <c r="D8" s="20" t="s">
        <v>21</v>
      </c>
      <c r="E8" s="21" t="s">
        <v>22</v>
      </c>
    </row>
    <row r="9" spans="2:5" x14ac:dyDescent="0.25">
      <c r="B9" s="18" t="s">
        <v>24</v>
      </c>
      <c r="C9" s="23" t="s">
        <v>25</v>
      </c>
      <c r="D9" s="20" t="s">
        <v>26</v>
      </c>
      <c r="E9" s="21" t="s">
        <v>22</v>
      </c>
    </row>
    <row r="10" spans="2:5" x14ac:dyDescent="0.25">
      <c r="B10" s="18" t="s">
        <v>27</v>
      </c>
      <c r="C10" s="24">
        <f>(C7+C8)/2</f>
        <v>1.82</v>
      </c>
      <c r="D10" s="20" t="s">
        <v>26</v>
      </c>
      <c r="E10" s="25" t="s">
        <v>28</v>
      </c>
    </row>
    <row r="11" spans="2:4" x14ac:dyDescent="0.25">
      <c r="B11" s="18" t="s">
        <v>29</v>
      </c>
      <c r="C11" s="26">
        <f>C5+C10*C6</f>
        <v>0.137182</v>
      </c>
      <c r="D11" s="20" t="s">
        <v>17</v>
      </c>
    </row>
    <row r="12" spans="2:5" x14ac:dyDescent="0.25">
      <c r="B12" s="18" t="s">
        <v>30</v>
      </c>
      <c r="C12" s="27">
        <v>0.02</v>
      </c>
      <c r="D12" s="20" t="s">
        <v>17</v>
      </c>
      <c r="E12" s="25" t="s">
        <v>28</v>
      </c>
    </row>
    <row r="13" spans="2:4" x14ac:dyDescent="0.25">
      <c r="B13" s="18" t="s">
        <v>31</v>
      </c>
      <c r="C13" s="26">
        <f>C5+C12</f>
        <v>0.066</v>
      </c>
      <c r="D13" s="20" t="s">
        <v>17</v>
      </c>
    </row>
    <row r="14" spans="2:5" x14ac:dyDescent="0.25">
      <c r="B14" s="18" t="s">
        <v>32</v>
      </c>
      <c r="C14" s="27">
        <v>0.025</v>
      </c>
      <c r="D14" s="20" t="s">
        <v>17</v>
      </c>
      <c r="E14" s="25" t="s">
        <v>28</v>
      </c>
    </row>
    <row r="15" spans="2:4" x14ac:dyDescent="0.25">
      <c r="B15" s="18" t="s">
        <v>33</v>
      </c>
      <c r="C15" s="26">
        <f>C13*(1-C14)</f>
        <v>0.06435</v>
      </c>
      <c r="D15" s="20" t="s">
        <v>17</v>
      </c>
    </row>
    <row r="16" ht="20" customHeight="1" spans="2:5" x14ac:dyDescent="0.25">
      <c r="B16" s="17" t="s">
        <v>34</v>
      </c>
      <c r="C16" s="17"/>
      <c r="D16" s="17"/>
      <c r="E16" s="17"/>
    </row>
    <row r="17" spans="2:5" x14ac:dyDescent="0.25">
      <c r="B17" s="18" t="s">
        <v>35</v>
      </c>
      <c r="C17" s="28">
        <v>209.836</v>
      </c>
      <c r="D17" s="20" t="s">
        <v>36</v>
      </c>
      <c r="E17" s="21" t="s">
        <v>37</v>
      </c>
    </row>
    <row r="18" spans="2:5" x14ac:dyDescent="0.25">
      <c r="B18" s="18" t="s">
        <v>38</v>
      </c>
      <c r="C18" s="29">
        <v>12.79</v>
      </c>
      <c r="D18" s="20" t="s">
        <v>39</v>
      </c>
      <c r="E18" s="21" t="s">
        <v>18</v>
      </c>
    </row>
    <row r="19" spans="2:4" x14ac:dyDescent="0.25">
      <c r="B19" s="18" t="s">
        <v>40</v>
      </c>
      <c r="C19" s="30">
        <f>C17*C18</f>
        <v>2683.80244</v>
      </c>
      <c r="D19" s="20" t="s">
        <v>41</v>
      </c>
    </row>
    <row r="20" spans="2:5" x14ac:dyDescent="0.25">
      <c r="B20" s="18" t="s">
        <v>42</v>
      </c>
      <c r="C20" s="31">
        <v>161.2</v>
      </c>
      <c r="D20" s="20" t="s">
        <v>41</v>
      </c>
      <c r="E20" s="21" t="s">
        <v>43</v>
      </c>
    </row>
    <row r="21" spans="2:5" x14ac:dyDescent="0.25">
      <c r="B21" s="18" t="s">
        <v>44</v>
      </c>
      <c r="C21" s="31">
        <v>510.7</v>
      </c>
      <c r="D21" s="20" t="s">
        <v>41</v>
      </c>
      <c r="E21" s="21" t="s">
        <v>43</v>
      </c>
    </row>
    <row r="22" spans="2:5" x14ac:dyDescent="0.25">
      <c r="B22" s="18" t="s">
        <v>45</v>
      </c>
      <c r="C22" s="31">
        <v>332.9</v>
      </c>
      <c r="D22" s="20" t="s">
        <v>41</v>
      </c>
      <c r="E22" s="21" t="s">
        <v>43</v>
      </c>
    </row>
    <row r="23" spans="2:4" x14ac:dyDescent="0.25">
      <c r="B23" s="18" t="s">
        <v>46</v>
      </c>
      <c r="C23" s="30">
        <f>C21-C20-C22</f>
        <v>16.600000000000023</v>
      </c>
      <c r="D23" s="20" t="s">
        <v>41</v>
      </c>
    </row>
    <row r="24" spans="2:4" x14ac:dyDescent="0.25">
      <c r="B24" s="18" t="s">
        <v>47</v>
      </c>
      <c r="C24" s="30">
        <f>C19+C20</f>
        <v>2845.0024399999998</v>
      </c>
      <c r="D24" s="20" t="s">
        <v>41</v>
      </c>
    </row>
    <row r="25" spans="2:4" x14ac:dyDescent="0.25">
      <c r="B25" s="18" t="s">
        <v>48</v>
      </c>
      <c r="C25" s="32">
        <f>C19/C24</f>
        <v>0.9433392401589645</v>
      </c>
      <c r="D25" s="20" t="s">
        <v>17</v>
      </c>
    </row>
    <row r="26" spans="2:4" x14ac:dyDescent="0.25">
      <c r="B26" s="18" t="s">
        <v>49</v>
      </c>
      <c r="C26" s="32">
        <f>C20/C24</f>
        <v>0.056660759841035496</v>
      </c>
      <c r="D26" s="20" t="s">
        <v>17</v>
      </c>
    </row>
    <row r="27" spans="2:4" x14ac:dyDescent="0.25">
      <c r="B27" s="33" t="s">
        <v>50</v>
      </c>
      <c r="C27" s="34">
        <f>C25*C11+C26*C15</f>
        <v>0.1330552835392577</v>
      </c>
      <c r="D27" s="20" t="s">
        <v>17</v>
      </c>
    </row>
    <row r="28" ht="20" customHeight="1" spans="2:5" x14ac:dyDescent="0.25">
      <c r="B28" s="17" t="s">
        <v>51</v>
      </c>
      <c r="C28" s="17"/>
      <c r="D28" s="17"/>
      <c r="E28" s="17"/>
    </row>
    <row r="29" spans="2:5" x14ac:dyDescent="0.25">
      <c r="B29" s="18" t="s">
        <v>52</v>
      </c>
      <c r="C29" s="27">
        <v>0.03</v>
      </c>
      <c r="D29" s="20" t="s">
        <v>17</v>
      </c>
      <c r="E29" s="25" t="s">
        <v>28</v>
      </c>
    </row>
    <row r="30" spans="2:5" x14ac:dyDescent="0.25">
      <c r="B30" s="18" t="s">
        <v>53</v>
      </c>
      <c r="C30" s="35">
        <v>4</v>
      </c>
      <c r="D30" s="20" t="s">
        <v>54</v>
      </c>
      <c r="E30" s="25" t="s">
        <v>28</v>
      </c>
    </row>
    <row r="31" spans="2:4" x14ac:dyDescent="0.25">
      <c r="B31" s="18" t="s">
        <v>55</v>
      </c>
      <c r="C31" s="36" t="s">
        <v>56</v>
      </c>
      <c r="D31" s="20" t="s">
        <v>57</v>
      </c>
    </row>
    <row r="32" ht="20" customHeight="1" spans="2:5" x14ac:dyDescent="0.25">
      <c r="B32" s="17" t="s">
        <v>58</v>
      </c>
      <c r="C32" s="17"/>
      <c r="D32" s="17"/>
      <c r="E32" s="17"/>
    </row>
    <row r="33" spans="2:5" x14ac:dyDescent="0.25">
      <c r="B33" s="18" t="s">
        <v>59</v>
      </c>
      <c r="C33" s="37">
        <v>0.035</v>
      </c>
      <c r="D33" s="20" t="s">
        <v>17</v>
      </c>
      <c r="E33" s="25" t="s">
        <v>28</v>
      </c>
    </row>
    <row r="34" spans="2:5" x14ac:dyDescent="0.25">
      <c r="B34" s="18" t="s">
        <v>60</v>
      </c>
      <c r="C34" s="37">
        <v>0.025</v>
      </c>
      <c r="D34" s="20" t="s">
        <v>17</v>
      </c>
      <c r="E34" s="25" t="s">
        <v>28</v>
      </c>
    </row>
    <row r="35" spans="2:5" x14ac:dyDescent="0.25">
      <c r="B35" s="18" t="s">
        <v>61</v>
      </c>
      <c r="C35" s="37">
        <v>0.02</v>
      </c>
      <c r="D35" s="20" t="s">
        <v>17</v>
      </c>
      <c r="E35" s="25" t="s">
        <v>28</v>
      </c>
    </row>
    <row r="37" ht="42" customHeight="1" spans="2:5" x14ac:dyDescent="0.25">
      <c r="B37" s="14" t="s">
        <v>62</v>
      </c>
      <c r="C37" s="14"/>
      <c r="D37" s="14"/>
      <c r="E37" s="14"/>
    </row>
  </sheetData>
  <mergeCells count="7">
    <mergeCell ref="A1:E1"/>
    <mergeCell ref="A2:E2"/>
    <mergeCell ref="B4:E4"/>
    <mergeCell ref="B16:E16"/>
    <mergeCell ref="B28:E28"/>
    <mergeCell ref="B32:E32"/>
    <mergeCell ref="B37:E37"/>
  </mergeCells>
  <hyperlinks>
    <hyperlink ref="E5" r:id="rId1"/>
    <hyperlink ref="E6" r:id="rId2"/>
    <hyperlink ref="E7" r:id="rId3"/>
    <hyperlink ref="E8" r:id="rId4"/>
    <hyperlink ref="E9" r:id="rId5"/>
    <hyperlink ref="E17" r:id="rId6"/>
    <hyperlink ref="E18" r:id="rId7"/>
    <hyperlink ref="E20" r:id="rId8"/>
    <hyperlink ref="E21" r:id="rId9"/>
    <hyperlink ref="E22" r:id="rId10"/>
  </hyperlink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J23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40" customWidth="1"/>
    <col min="3" max="10" width="12" customWidth="1"/>
  </cols>
  <sheetData>
    <row r="1" ht="30" customHeight="1" spans="1:10" x14ac:dyDescent="0.25">
      <c r="A1" s="15" t="s">
        <v>63</v>
      </c>
      <c r="B1" s="15"/>
      <c r="C1" s="15"/>
      <c r="D1" s="15"/>
      <c r="E1" s="15"/>
      <c r="F1" s="15"/>
      <c r="G1" s="15"/>
      <c r="H1" s="15"/>
      <c r="I1" s="15"/>
      <c r="J1" s="15"/>
    </row>
    <row r="2" ht="16" customHeight="1" spans="1:10" x14ac:dyDescent="0.25">
      <c r="A2" s="16" t="s">
        <v>64</v>
      </c>
      <c r="B2" s="16"/>
      <c r="C2" s="16"/>
      <c r="D2" s="16"/>
      <c r="E2" s="16"/>
      <c r="F2" s="16"/>
      <c r="G2" s="16"/>
      <c r="H2" s="16"/>
      <c r="I2" s="16"/>
      <c r="J2" s="16"/>
    </row>
    <row r="3" spans="2:10" x14ac:dyDescent="0.25">
      <c r="B3" s="38"/>
      <c r="C3" s="39" t="s">
        <v>65</v>
      </c>
      <c r="D3" s="39" t="s">
        <v>66</v>
      </c>
      <c r="E3" s="39" t="s">
        <v>67</v>
      </c>
      <c r="F3" s="40" t="s">
        <v>68</v>
      </c>
      <c r="G3" s="40" t="s">
        <v>69</v>
      </c>
      <c r="H3" s="40" t="s">
        <v>70</v>
      </c>
      <c r="I3" s="40" t="s">
        <v>71</v>
      </c>
      <c r="J3" s="40" t="s">
        <v>72</v>
      </c>
    </row>
    <row r="4" spans="2:10" x14ac:dyDescent="0.25">
      <c r="B4" s="18" t="s">
        <v>73</v>
      </c>
      <c r="C4" s="28">
        <v>84.8</v>
      </c>
      <c r="D4" s="28">
        <v>106</v>
      </c>
      <c r="E4" s="28">
        <v>111.6</v>
      </c>
      <c r="F4" s="41">
        <f>E4*(1+F5)</f>
        <v>131.688</v>
      </c>
      <c r="G4" s="41">
        <f>F4*(1+G5)</f>
        <v>147.49056</v>
      </c>
      <c r="H4" s="41">
        <f>G4*(1+H5)</f>
        <v>160.7647104</v>
      </c>
      <c r="I4" s="41">
        <f>H4*(1+I5)</f>
        <v>172.01824012800003</v>
      </c>
      <c r="J4" s="41">
        <f>I4*(1+J5)</f>
        <v>182.33933453568005</v>
      </c>
    </row>
    <row r="5" spans="2:10" x14ac:dyDescent="0.25">
      <c r="B5" s="42" t="s">
        <v>74</v>
      </c>
      <c r="F5" s="43">
        <v>0.18</v>
      </c>
      <c r="G5" s="43">
        <v>0.12</v>
      </c>
      <c r="H5" s="43">
        <v>0.09</v>
      </c>
      <c r="I5" s="43">
        <v>0.07</v>
      </c>
      <c r="J5" s="43">
        <v>0.06</v>
      </c>
    </row>
    <row r="6" spans="2:10" x14ac:dyDescent="0.25">
      <c r="B6" s="18" t="s">
        <v>75</v>
      </c>
      <c r="C6" s="29">
        <v>60.1</v>
      </c>
      <c r="D6" s="29">
        <v>61.7</v>
      </c>
      <c r="E6" s="29">
        <v>64.9</v>
      </c>
      <c r="F6" s="44">
        <f>E6*(1+F7)</f>
        <v>68.79400000000001</v>
      </c>
      <c r="G6" s="44">
        <f>F6*(1+G7)</f>
        <v>71.54576000000002</v>
      </c>
      <c r="H6" s="44">
        <f>G6*(1+H7)</f>
        <v>73.69213280000002</v>
      </c>
      <c r="I6" s="44">
        <f>H6*(1+I7)</f>
        <v>75.90289678400002</v>
      </c>
      <c r="J6" s="44">
        <f>I6*(1+J7)</f>
        <v>78.17998368752002</v>
      </c>
    </row>
    <row r="7" spans="2:10" x14ac:dyDescent="0.25">
      <c r="B7" s="42" t="s">
        <v>76</v>
      </c>
      <c r="F7" s="43">
        <v>0.06</v>
      </c>
      <c r="G7" s="43">
        <v>0.04</v>
      </c>
      <c r="H7" s="43">
        <v>0.03</v>
      </c>
      <c r="I7" s="43">
        <v>0.03</v>
      </c>
      <c r="J7" s="43">
        <v>0.03</v>
      </c>
    </row>
    <row r="8" spans="2:10" x14ac:dyDescent="0.25">
      <c r="B8" s="33" t="s">
        <v>77</v>
      </c>
      <c r="C8" s="31">
        <v>5100</v>
      </c>
      <c r="D8" s="31">
        <v>6541.9</v>
      </c>
      <c r="E8" s="31">
        <v>7245.2</v>
      </c>
      <c r="F8" s="45">
        <f>F4*F6</f>
        <v>9059.344272</v>
      </c>
      <c r="G8" s="45">
        <f>G4*G6</f>
        <v>10552.324208025602</v>
      </c>
      <c r="H8" s="45">
        <f>H4*H6</f>
        <v>11847.094388350346</v>
      </c>
      <c r="I8" s="45">
        <f>I4*I6</f>
        <v>13056.682725400917</v>
      </c>
      <c r="J8" s="45">
        <f>J4*J6</f>
        <v>14255.286199592723</v>
      </c>
    </row>
    <row r="9" spans="2:10" x14ac:dyDescent="0.25">
      <c r="B9" s="42" t="s">
        <v>78</v>
      </c>
      <c r="C9" s="46">
        <f>C10/C8</f>
        <v>0.34996078431372546</v>
      </c>
      <c r="D9" s="46">
        <f>D10/D8</f>
        <v>0.33915223406044115</v>
      </c>
      <c r="E9" s="46">
        <f>E10/E8</f>
        <v>0.3207088831226191</v>
      </c>
      <c r="F9" s="43">
        <v>0.31</v>
      </c>
      <c r="G9" s="43">
        <v>0.305</v>
      </c>
      <c r="H9" s="43">
        <v>0.305</v>
      </c>
      <c r="I9" s="43">
        <v>0.305</v>
      </c>
      <c r="J9" s="43">
        <v>0.305</v>
      </c>
    </row>
    <row r="10" spans="2:10" x14ac:dyDescent="0.25">
      <c r="B10" s="33" t="s">
        <v>79</v>
      </c>
      <c r="C10" s="47">
        <v>1784.8</v>
      </c>
      <c r="D10" s="47">
        <v>2218.7</v>
      </c>
      <c r="E10" s="47">
        <v>2323.6</v>
      </c>
      <c r="F10" s="48">
        <f>F8*F9</f>
        <v>2808.39672432</v>
      </c>
      <c r="G10" s="48">
        <f>G8*G9</f>
        <v>3218.4588834478086</v>
      </c>
      <c r="H10" s="48">
        <f>H8*H9</f>
        <v>3613.3637884468553</v>
      </c>
      <c r="I10" s="48">
        <f>I8*I9</f>
        <v>3982.2882312472793</v>
      </c>
      <c r="J10" s="48">
        <f>J8*J9</f>
        <v>4347.862290875781</v>
      </c>
    </row>
    <row r="11" spans="2:10" x14ac:dyDescent="0.25">
      <c r="B11" s="42" t="s">
        <v>80</v>
      </c>
      <c r="C11" s="49">
        <v>0.135</v>
      </c>
      <c r="D11" s="49">
        <v>0.146</v>
      </c>
      <c r="E11" s="49">
        <v>0.154</v>
      </c>
      <c r="F11" s="46">
        <f>E11</f>
        <v>0.154</v>
      </c>
      <c r="G11" s="46">
        <f>E11</f>
        <v>0.154</v>
      </c>
      <c r="H11" s="46">
        <f>E11</f>
        <v>0.154</v>
      </c>
      <c r="I11" s="46">
        <f>E11</f>
        <v>0.154</v>
      </c>
      <c r="J11" s="46">
        <f>E11</f>
        <v>0.154</v>
      </c>
    </row>
    <row r="12" spans="2:10" x14ac:dyDescent="0.25">
      <c r="B12" s="42" t="s">
        <v>81</v>
      </c>
      <c r="E12" s="50">
        <v>1113.8</v>
      </c>
      <c r="F12" s="51">
        <f>F8*F11</f>
        <v>1395.1390178880001</v>
      </c>
      <c r="G12" s="51">
        <f>G8*G11</f>
        <v>1625.0579280359427</v>
      </c>
      <c r="H12" s="51">
        <f>H8*H11</f>
        <v>1824.4525358059532</v>
      </c>
      <c r="I12" s="51">
        <f>I8*I11</f>
        <v>2010.7291397117413</v>
      </c>
      <c r="J12" s="51">
        <f>J8*J11</f>
        <v>2195.3140747372795</v>
      </c>
    </row>
    <row r="14" ht="20" customHeight="1" spans="2:10" x14ac:dyDescent="0.25">
      <c r="B14" s="17" t="s">
        <v>82</v>
      </c>
      <c r="C14" s="17"/>
      <c r="D14" s="17"/>
      <c r="E14" s="17"/>
      <c r="F14" s="17"/>
      <c r="G14" s="17"/>
      <c r="H14" s="17"/>
      <c r="I14" s="17"/>
      <c r="J14" s="17"/>
    </row>
    <row r="15" spans="2:5" x14ac:dyDescent="0.25">
      <c r="B15" s="18" t="s">
        <v>83</v>
      </c>
      <c r="E15" s="31">
        <v>1761</v>
      </c>
    </row>
    <row r="16" spans="2:5" x14ac:dyDescent="0.25">
      <c r="B16" s="18" t="s">
        <v>84</v>
      </c>
      <c r="E16" s="31">
        <v>462.4</v>
      </c>
    </row>
    <row r="17" spans="2:5" x14ac:dyDescent="0.25">
      <c r="B17" s="18" t="s">
        <v>85</v>
      </c>
      <c r="E17" s="31">
        <v>428.8</v>
      </c>
    </row>
    <row r="18" spans="2:5" x14ac:dyDescent="0.25">
      <c r="B18" s="18" t="s">
        <v>86</v>
      </c>
      <c r="E18" s="31">
        <v>108</v>
      </c>
    </row>
    <row r="19" spans="2:5" x14ac:dyDescent="0.25">
      <c r="B19" s="52" t="s">
        <v>87</v>
      </c>
      <c r="E19" s="53">
        <f>SUM(E15:E18)</f>
        <v>2760.2</v>
      </c>
    </row>
    <row r="20" spans="2:5" x14ac:dyDescent="0.25">
      <c r="B20" s="42" t="s">
        <v>88</v>
      </c>
      <c r="E20" s="53">
        <f>E10-E19</f>
        <v>-436.5999999999999</v>
      </c>
    </row>
    <row r="21" spans="2:5" x14ac:dyDescent="0.25">
      <c r="B21" s="33" t="s">
        <v>89</v>
      </c>
      <c r="E21" s="48">
        <f>E10</f>
        <v>2323.6</v>
      </c>
    </row>
    <row r="23" ht="42" customHeight="1" spans="2:10" x14ac:dyDescent="0.25">
      <c r="B23" s="14" t="s">
        <v>90</v>
      </c>
      <c r="C23" s="14"/>
      <c r="D23" s="14"/>
      <c r="E23" s="14"/>
      <c r="F23" s="14"/>
      <c r="G23" s="14"/>
      <c r="H23" s="14"/>
      <c r="I23" s="14"/>
      <c r="J23" s="14"/>
    </row>
  </sheetData>
  <mergeCells count="4">
    <mergeCell ref="A1:J1"/>
    <mergeCell ref="A2:J2"/>
    <mergeCell ref="B14:J14"/>
    <mergeCell ref="B23:J23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J2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40" customWidth="1"/>
    <col min="3" max="10" width="12" customWidth="1"/>
  </cols>
  <sheetData>
    <row r="1" ht="30" customHeight="1" spans="1:10" x14ac:dyDescent="0.25">
      <c r="A1" s="15" t="s">
        <v>91</v>
      </c>
      <c r="B1" s="15"/>
      <c r="C1" s="15"/>
      <c r="D1" s="15"/>
      <c r="E1" s="15"/>
      <c r="F1" s="15"/>
      <c r="G1" s="15"/>
      <c r="H1" s="15"/>
      <c r="I1" s="15"/>
      <c r="J1" s="15"/>
    </row>
    <row r="2" ht="16" customHeight="1" spans="1:10" x14ac:dyDescent="0.2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</row>
    <row r="3" spans="2:10" x14ac:dyDescent="0.25">
      <c r="B3" s="38"/>
      <c r="C3" s="39" t="s">
        <v>65</v>
      </c>
      <c r="D3" s="39" t="s">
        <v>66</v>
      </c>
      <c r="E3" s="39" t="s">
        <v>67</v>
      </c>
      <c r="F3" s="40" t="s">
        <v>68</v>
      </c>
      <c r="G3" s="40" t="s">
        <v>69</v>
      </c>
      <c r="H3" s="40" t="s">
        <v>70</v>
      </c>
      <c r="I3" s="40" t="s">
        <v>71</v>
      </c>
      <c r="J3" s="40" t="s">
        <v>72</v>
      </c>
    </row>
    <row r="4" ht="20" customHeight="1" spans="2:10" x14ac:dyDescent="0.25">
      <c r="B4" s="17" t="s">
        <v>93</v>
      </c>
      <c r="C4" s="17"/>
      <c r="D4" s="17"/>
      <c r="E4" s="17"/>
      <c r="F4" s="17"/>
      <c r="G4" s="17"/>
      <c r="H4" s="17"/>
      <c r="I4" s="17"/>
      <c r="J4" s="17"/>
    </row>
    <row r="5" spans="2:10" x14ac:dyDescent="0.25">
      <c r="B5" s="33" t="s">
        <v>94</v>
      </c>
      <c r="C5" s="54">
        <f>'Revenue Drivers'!C10</f>
        <v>1784.8</v>
      </c>
      <c r="D5" s="54">
        <f>'Revenue Drivers'!D10</f>
        <v>2218.7</v>
      </c>
      <c r="E5" s="54">
        <f>'Revenue Drivers'!E10</f>
        <v>2323.6</v>
      </c>
      <c r="F5" s="45">
        <f>'Revenue Drivers'!F10</f>
        <v>2808.39672432</v>
      </c>
      <c r="G5" s="45">
        <f>'Revenue Drivers'!G10</f>
        <v>3218.4588834478086</v>
      </c>
      <c r="H5" s="45">
        <f>'Revenue Drivers'!H10</f>
        <v>3613.3637884468553</v>
      </c>
      <c r="I5" s="45">
        <f>'Revenue Drivers'!I10</f>
        <v>3982.2882312472793</v>
      </c>
      <c r="J5" s="45">
        <f>'Revenue Drivers'!J10</f>
        <v>4347.862290875781</v>
      </c>
    </row>
    <row r="6" spans="2:10" x14ac:dyDescent="0.25">
      <c r="B6" s="42" t="s">
        <v>95</v>
      </c>
      <c r="C6" s="46">
        <f>C7/C5</f>
        <v>0.10158000896458988</v>
      </c>
      <c r="D6" s="46">
        <f>D7/D5</f>
        <v>0.11267859557398477</v>
      </c>
      <c r="E6" s="46">
        <f>E7/E5</f>
        <v>0.08306076777414358</v>
      </c>
      <c r="F6" s="43">
        <v>0.075</v>
      </c>
      <c r="G6" s="43">
        <v>0.09</v>
      </c>
      <c r="H6" s="43">
        <v>0.105</v>
      </c>
      <c r="I6" s="43">
        <v>0.115</v>
      </c>
      <c r="J6" s="43">
        <v>0.12</v>
      </c>
    </row>
    <row r="7" spans="2:10" x14ac:dyDescent="0.25">
      <c r="B7" s="33" t="s">
        <v>96</v>
      </c>
      <c r="C7" s="47">
        <v>181.3</v>
      </c>
      <c r="D7" s="47">
        <v>250</v>
      </c>
      <c r="E7" s="47">
        <v>193</v>
      </c>
      <c r="F7" s="45">
        <f>F5*F6</f>
        <v>210.629754324</v>
      </c>
      <c r="G7" s="45">
        <f>G5*G6</f>
        <v>289.66129951030274</v>
      </c>
      <c r="H7" s="45">
        <f>H5*H6</f>
        <v>379.4031977869198</v>
      </c>
      <c r="I7" s="45">
        <f>I5*I6</f>
        <v>457.96314659343716</v>
      </c>
      <c r="J7" s="45">
        <f>J5*J6</f>
        <v>521.7434749050936</v>
      </c>
    </row>
    <row r="8" spans="2:10" x14ac:dyDescent="0.25">
      <c r="B8" s="18" t="s">
        <v>97</v>
      </c>
      <c r="D8" s="31">
        <v>51</v>
      </c>
      <c r="E8" s="31">
        <v>89.4</v>
      </c>
      <c r="F8" s="30">
        <f>F5*'Assumptions'!C33</f>
        <v>98.2938853512</v>
      </c>
      <c r="G8" s="30">
        <f>G5*'Assumptions'!C33</f>
        <v>112.6460609206733</v>
      </c>
      <c r="H8" s="30">
        <f>H5*'Assumptions'!C33</f>
        <v>126.46773259563994</v>
      </c>
      <c r="I8" s="30">
        <f>I5*'Assumptions'!C33</f>
        <v>139.3800880936548</v>
      </c>
      <c r="J8" s="30">
        <f>J5*'Assumptions'!C33</f>
        <v>152.17518018065235</v>
      </c>
    </row>
    <row r="9" spans="2:10" x14ac:dyDescent="0.25">
      <c r="B9" s="33" t="s">
        <v>98</v>
      </c>
      <c r="D9" s="45">
        <f>D7-D8</f>
        <v>199</v>
      </c>
      <c r="E9" s="45">
        <f>E7-E8</f>
        <v>103.6</v>
      </c>
      <c r="F9" s="45">
        <f>F7-F8</f>
        <v>112.3358689728</v>
      </c>
      <c r="G9" s="45">
        <f>G7-G8</f>
        <v>177.01523858962943</v>
      </c>
      <c r="H9" s="45">
        <f>H7-H8</f>
        <v>252.93546519127986</v>
      </c>
      <c r="I9" s="45">
        <f>I7-I8</f>
        <v>318.5830584997824</v>
      </c>
      <c r="J9" s="45">
        <f>J7-J8</f>
        <v>369.56829472444133</v>
      </c>
    </row>
    <row r="10" spans="2:10" x14ac:dyDescent="0.25">
      <c r="B10" s="18" t="s">
        <v>99</v>
      </c>
      <c r="C10" s="31">
        <v>118.8</v>
      </c>
      <c r="D10" s="31">
        <v>188</v>
      </c>
      <c r="E10" s="31">
        <v>73</v>
      </c>
      <c r="F10" s="30">
        <f>F9*(1-'Assumptions'!C14)</f>
        <v>109.52747224848</v>
      </c>
      <c r="G10" s="30">
        <f>G9*(1-'Assumptions'!C14)</f>
        <v>172.58985762488868</v>
      </c>
      <c r="H10" s="30">
        <f>H9*(1-'Assumptions'!C14)</f>
        <v>246.61207856149787</v>
      </c>
      <c r="I10" s="30">
        <f>I9*(1-'Assumptions'!C14)</f>
        <v>310.61848203728783</v>
      </c>
      <c r="J10" s="30">
        <f>J9*(1-'Assumptions'!C14)</f>
        <v>360.32908735633026</v>
      </c>
    </row>
    <row r="12" ht="20" customHeight="1" spans="2:10" x14ac:dyDescent="0.25">
      <c r="B12" s="17" t="s">
        <v>100</v>
      </c>
      <c r="C12" s="17"/>
      <c r="D12" s="17"/>
      <c r="E12" s="17"/>
      <c r="F12" s="17"/>
      <c r="G12" s="17"/>
      <c r="H12" s="17"/>
      <c r="I12" s="17"/>
      <c r="J12" s="17"/>
    </row>
    <row r="13" spans="2:10" x14ac:dyDescent="0.25">
      <c r="B13" s="18" t="s">
        <v>101</v>
      </c>
      <c r="D13" s="30">
        <f>D9*(1-'Assumptions'!C14)</f>
        <v>194.025</v>
      </c>
      <c r="E13" s="30">
        <f>E9*(1-'Assumptions'!C14)</f>
        <v>101.00999999999999</v>
      </c>
      <c r="F13" s="30">
        <f>F9*(1-'Assumptions'!C14)</f>
        <v>109.52747224848</v>
      </c>
      <c r="G13" s="30">
        <f>G9*(1-'Assumptions'!C14)</f>
        <v>172.58985762488868</v>
      </c>
      <c r="H13" s="30">
        <f>H9*(1-'Assumptions'!C14)</f>
        <v>246.61207856149787</v>
      </c>
      <c r="I13" s="30">
        <f>I9*(1-'Assumptions'!C14)</f>
        <v>310.61848203728783</v>
      </c>
      <c r="J13" s="30">
        <f>J9*(1-'Assumptions'!C14)</f>
        <v>360.32908735633026</v>
      </c>
    </row>
    <row r="14" spans="2:10" x14ac:dyDescent="0.25">
      <c r="B14" s="18" t="s">
        <v>102</v>
      </c>
      <c r="D14" s="30">
        <f>D8</f>
        <v>51</v>
      </c>
      <c r="E14" s="30">
        <f>E8</f>
        <v>89.4</v>
      </c>
      <c r="F14" s="30">
        <f>F8</f>
        <v>98.2938853512</v>
      </c>
      <c r="G14" s="30">
        <f>G8</f>
        <v>112.6460609206733</v>
      </c>
      <c r="H14" s="30">
        <f>H8</f>
        <v>126.46773259563994</v>
      </c>
      <c r="I14" s="30">
        <f>I8</f>
        <v>139.3800880936548</v>
      </c>
      <c r="J14" s="30">
        <f>J8</f>
        <v>152.17518018065235</v>
      </c>
    </row>
    <row r="15" spans="2:10" x14ac:dyDescent="0.25">
      <c r="B15" s="18" t="s">
        <v>103</v>
      </c>
      <c r="D15" s="30">
        <f>-D5*'Assumptions'!C34</f>
        <v>-55.4675</v>
      </c>
      <c r="E15" s="30">
        <f>-E5*'Assumptions'!C34</f>
        <v>-58.09</v>
      </c>
      <c r="F15" s="30">
        <f>-F5*'Assumptions'!C34</f>
        <v>-70.209918108</v>
      </c>
      <c r="G15" s="30">
        <f>-G5*'Assumptions'!C34</f>
        <v>-80.46147208619522</v>
      </c>
      <c r="H15" s="30">
        <f>-H5*'Assumptions'!C34</f>
        <v>-90.33409471117139</v>
      </c>
      <c r="I15" s="30">
        <f>-I5*'Assumptions'!C34</f>
        <v>-99.55720578118199</v>
      </c>
      <c r="J15" s="30">
        <f>-J5*'Assumptions'!C34</f>
        <v>-108.69655727189452</v>
      </c>
    </row>
    <row r="16" spans="2:10" x14ac:dyDescent="0.25">
      <c r="B16" s="18" t="s">
        <v>104</v>
      </c>
      <c r="D16" s="30">
        <f>-(D5-C5)*'Assumptions'!C35</f>
        <v>-8.677999999999997</v>
      </c>
      <c r="E16" s="30">
        <f>-(E5-D5)*'Assumptions'!C35</f>
        <v>-2.0980000000000016</v>
      </c>
      <c r="F16" s="30">
        <f>-(F5-E5)*'Assumptions'!C35</f>
        <v>-9.695934486400002</v>
      </c>
      <c r="G16" s="30">
        <f>-(G5-F5)*'Assumptions'!C35</f>
        <v>-8.201243182556173</v>
      </c>
      <c r="H16" s="30">
        <f>-(H5-G5)*'Assumptions'!C35</f>
        <v>-7.898098099980935</v>
      </c>
      <c r="I16" s="30">
        <f>-(I5-H5)*'Assumptions'!C35</f>
        <v>-7.37848885600848</v>
      </c>
      <c r="J16" s="30">
        <f>-(J5-I5)*'Assumptions'!C35</f>
        <v>-7.311481192570027</v>
      </c>
    </row>
    <row r="17" spans="2:10" x14ac:dyDescent="0.25">
      <c r="B17" s="33" t="s">
        <v>105</v>
      </c>
      <c r="D17" s="48">
        <f>D13+D14+D15+D16</f>
        <v>180.8795</v>
      </c>
      <c r="E17" s="48">
        <f>E13+E14+E15+E16</f>
        <v>130.22199999999998</v>
      </c>
      <c r="F17" s="48">
        <f>F13+F14+F15+F16</f>
        <v>127.91550500528001</v>
      </c>
      <c r="G17" s="48">
        <f>G13+G14+G15+G16</f>
        <v>196.57320327681057</v>
      </c>
      <c r="H17" s="48">
        <f>H13+H14+H15+H16</f>
        <v>274.8476183459855</v>
      </c>
      <c r="I17" s="48">
        <f>I13+I14+I15+I16</f>
        <v>343.0628754937522</v>
      </c>
      <c r="J17" s="48">
        <f>J13+J14+J15+J16</f>
        <v>396.49622907251813</v>
      </c>
    </row>
    <row r="19" ht="20" customHeight="1" spans="2:10" x14ac:dyDescent="0.25">
      <c r="B19" s="17" t="s">
        <v>106</v>
      </c>
      <c r="C19" s="17"/>
      <c r="D19" s="17"/>
      <c r="E19" s="17"/>
      <c r="F19" s="17"/>
      <c r="G19" s="17"/>
      <c r="H19" s="17"/>
      <c r="I19" s="17"/>
      <c r="J19" s="17"/>
    </row>
    <row r="20" spans="2:10" x14ac:dyDescent="0.25">
      <c r="B20" s="18" t="s">
        <v>44</v>
      </c>
      <c r="D20" s="31">
        <v>1054.1</v>
      </c>
      <c r="E20" s="31">
        <v>428.4</v>
      </c>
      <c r="F20" s="30">
        <f>E20+F17</f>
        <v>556.31550500528</v>
      </c>
      <c r="G20" s="30">
        <f>F20+G17</f>
        <v>752.8887082820905</v>
      </c>
      <c r="H20" s="30">
        <f>G20+H17</f>
        <v>1027.736326628076</v>
      </c>
      <c r="I20" s="30">
        <f>H20+I17</f>
        <v>1370.7992021218283</v>
      </c>
      <c r="J20" s="30">
        <f>I20+J17</f>
        <v>1767.2954311943465</v>
      </c>
    </row>
    <row r="21" spans="2:10" x14ac:dyDescent="0.25">
      <c r="B21" s="18" t="s">
        <v>107</v>
      </c>
      <c r="E21" s="31">
        <v>165.1</v>
      </c>
      <c r="F21" s="30">
        <f>E21</f>
        <v>165.1</v>
      </c>
      <c r="G21" s="30">
        <f>E21</f>
        <v>165.1</v>
      </c>
      <c r="H21" s="30">
        <f>E21</f>
        <v>165.1</v>
      </c>
      <c r="I21" s="30">
        <f>E21</f>
        <v>165.1</v>
      </c>
      <c r="J21" s="30">
        <f>E21</f>
        <v>165.1</v>
      </c>
    </row>
    <row r="22" spans="2:10" x14ac:dyDescent="0.25">
      <c r="B22" s="18" t="s">
        <v>45</v>
      </c>
      <c r="E22" s="31">
        <v>290.2</v>
      </c>
      <c r="F22" s="30">
        <f>E22</f>
        <v>290.2</v>
      </c>
      <c r="G22" s="30">
        <f>E22</f>
        <v>290.2</v>
      </c>
      <c r="H22" s="30">
        <f>E22</f>
        <v>290.2</v>
      </c>
      <c r="I22" s="30">
        <f>E22</f>
        <v>290.2</v>
      </c>
      <c r="J22" s="30">
        <f>E22</f>
        <v>290.2</v>
      </c>
    </row>
    <row r="24" ht="42" customHeight="1" spans="2:10" x14ac:dyDescent="0.25">
      <c r="B24" s="14" t="s">
        <v>108</v>
      </c>
      <c r="C24" s="14"/>
      <c r="D24" s="14"/>
      <c r="E24" s="14"/>
      <c r="F24" s="14"/>
      <c r="G24" s="14"/>
      <c r="H24" s="14"/>
      <c r="I24" s="14"/>
      <c r="J24" s="14"/>
    </row>
  </sheetData>
  <mergeCells count="6">
    <mergeCell ref="A1:J1"/>
    <mergeCell ref="A2:J2"/>
    <mergeCell ref="B4:J4"/>
    <mergeCell ref="B12:J12"/>
    <mergeCell ref="B19:J19"/>
    <mergeCell ref="B24:J24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J2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40" customWidth="1"/>
    <col min="3" max="10" width="12" customWidth="1"/>
  </cols>
  <sheetData>
    <row r="1" ht="30" customHeight="1" spans="1:10" x14ac:dyDescent="0.25">
      <c r="A1" s="15" t="s">
        <v>109</v>
      </c>
      <c r="B1" s="15"/>
      <c r="C1" s="15"/>
      <c r="D1" s="15"/>
      <c r="E1" s="15"/>
      <c r="F1" s="15"/>
      <c r="G1" s="15"/>
      <c r="H1" s="15"/>
      <c r="I1" s="15"/>
      <c r="J1" s="15"/>
    </row>
    <row r="2" ht="16" customHeight="1" spans="1:10" x14ac:dyDescent="0.25">
      <c r="A2" s="16" t="s">
        <v>110</v>
      </c>
      <c r="B2" s="16"/>
      <c r="C2" s="16"/>
      <c r="D2" s="16"/>
      <c r="E2" s="16"/>
      <c r="F2" s="16"/>
      <c r="G2" s="16"/>
      <c r="H2" s="16"/>
      <c r="I2" s="16"/>
      <c r="J2" s="16"/>
    </row>
    <row r="3" spans="2:10" x14ac:dyDescent="0.25">
      <c r="B3" s="38"/>
      <c r="C3" s="39" t="s">
        <v>65</v>
      </c>
      <c r="D3" s="39" t="s">
        <v>66</v>
      </c>
      <c r="E3" s="39" t="s">
        <v>67</v>
      </c>
      <c r="F3" s="40" t="s">
        <v>68</v>
      </c>
      <c r="G3" s="40" t="s">
        <v>69</v>
      </c>
      <c r="H3" s="40" t="s">
        <v>70</v>
      </c>
      <c r="I3" s="40" t="s">
        <v>71</v>
      </c>
      <c r="J3" s="40" t="s">
        <v>72</v>
      </c>
    </row>
    <row r="4" spans="2:10" x14ac:dyDescent="0.25">
      <c r="B4" s="33" t="s">
        <v>111</v>
      </c>
      <c r="F4" s="45">
        <f>'3-Statement'!F17</f>
        <v>127.91550500528001</v>
      </c>
      <c r="G4" s="45">
        <f>'3-Statement'!G17</f>
        <v>196.57320327681057</v>
      </c>
      <c r="H4" s="45">
        <f>'3-Statement'!H17</f>
        <v>274.8476183459855</v>
      </c>
      <c r="I4" s="45">
        <f>'3-Statement'!I17</f>
        <v>343.0628754937522</v>
      </c>
      <c r="J4" s="45">
        <f>'3-Statement'!J17</f>
        <v>396.49622907251813</v>
      </c>
    </row>
    <row r="5" spans="2:10" x14ac:dyDescent="0.25">
      <c r="B5" s="42" t="s">
        <v>112</v>
      </c>
      <c r="F5" s="55">
        <v>1</v>
      </c>
      <c r="G5" s="55">
        <v>2</v>
      </c>
      <c r="H5" s="55">
        <v>3</v>
      </c>
      <c r="I5" s="55">
        <v>4</v>
      </c>
      <c r="J5" s="55">
        <v>5</v>
      </c>
    </row>
    <row r="6" spans="2:10" x14ac:dyDescent="0.25">
      <c r="B6" s="42" t="s">
        <v>113</v>
      </c>
      <c r="F6" s="56">
        <f>1/(1+'Assumptions'!C27)^F5</f>
        <v>0.8825694690521712</v>
      </c>
      <c r="G6" s="56">
        <f>1/(1+'Assumptions'!C27)^G5</f>
        <v>0.7789288677030313</v>
      </c>
      <c r="H6" s="56">
        <f>1/(1+'Assumptions'!C27)^H5</f>
        <v>0.6874588371980732</v>
      </c>
      <c r="I6" s="56">
        <f>1/(1+'Assumptions'!C27)^I5</f>
        <v>0.6067301809411265</v>
      </c>
      <c r="J6" s="56">
        <f>1/(1+'Assumptions'!C27)^J5</f>
        <v>0.5354815336511377</v>
      </c>
    </row>
    <row r="7" spans="2:10" x14ac:dyDescent="0.25">
      <c r="B7" s="33" t="s">
        <v>114</v>
      </c>
      <c r="F7" s="45">
        <f>F4*F6</f>
        <v>112.89431933605032</v>
      </c>
      <c r="G7" s="45">
        <f>G4*G6</f>
        <v>153.11654264916385</v>
      </c>
      <c r="H7" s="45">
        <f>H4*H6</f>
        <v>188.946424114791</v>
      </c>
      <c r="I7" s="45">
        <f>I4*I6</f>
        <v>208.1466005225074</v>
      </c>
      <c r="J7" s="45">
        <f>J4*J6</f>
        <v>212.31640883064483</v>
      </c>
    </row>
    <row r="9" ht="20" customHeight="1" spans="2:10" x14ac:dyDescent="0.25">
      <c r="B9" s="17" t="s">
        <v>115</v>
      </c>
      <c r="C9" s="17"/>
      <c r="D9" s="17"/>
      <c r="E9" s="17"/>
      <c r="F9" s="17"/>
      <c r="G9" s="17"/>
      <c r="H9" s="17"/>
      <c r="I9" s="17"/>
      <c r="J9" s="17"/>
    </row>
    <row r="10" spans="2:5" x14ac:dyDescent="0.25">
      <c r="B10" s="33" t="s">
        <v>116</v>
      </c>
      <c r="E10" s="45">
        <f>SUM(F7:J7)</f>
        <v>875.4202954531575</v>
      </c>
    </row>
    <row r="11" spans="2:5" x14ac:dyDescent="0.25">
      <c r="B11" s="18" t="s">
        <v>117</v>
      </c>
      <c r="E11" s="30">
        <f>J4*(1+'Assumptions'!C29)</f>
        <v>408.3911159446937</v>
      </c>
    </row>
    <row r="12" spans="2:5" x14ac:dyDescent="0.25">
      <c r="B12" s="18" t="s">
        <v>118</v>
      </c>
      <c r="E12" s="30">
        <f>E11/('Assumptions'!C27-'Assumptions'!C29)</f>
        <v>3962.8353046947072</v>
      </c>
    </row>
    <row r="13" spans="2:5" x14ac:dyDescent="0.25">
      <c r="B13" s="18" t="s">
        <v>119</v>
      </c>
      <c r="E13" s="30">
        <f>E12/(1+'Assumptions'!C27)^5</f>
        <v>2122.0251265647953</v>
      </c>
    </row>
    <row r="14" spans="2:5" x14ac:dyDescent="0.25">
      <c r="B14" s="33" t="s">
        <v>120</v>
      </c>
      <c r="E14" s="48">
        <f>E10+E13</f>
        <v>2997.4454220179528</v>
      </c>
    </row>
    <row r="15" spans="2:5" x14ac:dyDescent="0.25">
      <c r="B15" s="18" t="s">
        <v>121</v>
      </c>
      <c r="E15" s="30">
        <f>'Assumptions'!C21</f>
        <v>510.7</v>
      </c>
    </row>
    <row r="16" spans="2:5" x14ac:dyDescent="0.25">
      <c r="B16" s="18" t="s">
        <v>122</v>
      </c>
      <c r="E16" s="30">
        <f>-'Assumptions'!C20</f>
        <v>-161.2</v>
      </c>
    </row>
    <row r="17" spans="2:5" x14ac:dyDescent="0.25">
      <c r="B17" s="18" t="s">
        <v>123</v>
      </c>
      <c r="E17" s="30">
        <f>-'Assumptions'!C22</f>
        <v>-332.9</v>
      </c>
    </row>
    <row r="18" spans="2:5" x14ac:dyDescent="0.25">
      <c r="B18" s="33" t="s">
        <v>124</v>
      </c>
      <c r="E18" s="48">
        <f>E14+E15+E16+E17</f>
        <v>3014.0454220179527</v>
      </c>
    </row>
    <row r="19" spans="2:5" x14ac:dyDescent="0.25">
      <c r="B19" s="18" t="s">
        <v>125</v>
      </c>
      <c r="E19" s="41">
        <f>'Assumptions'!C17</f>
        <v>209.836</v>
      </c>
    </row>
    <row r="20" spans="2:5" x14ac:dyDescent="0.25">
      <c r="B20" s="33" t="s">
        <v>126</v>
      </c>
      <c r="E20" s="57">
        <f>E18/E19</f>
        <v>14.3638147029964</v>
      </c>
    </row>
    <row r="21" spans="2:5" x14ac:dyDescent="0.25">
      <c r="B21" s="18" t="s">
        <v>127</v>
      </c>
      <c r="E21" s="44">
        <f>'Assumptions'!C18</f>
        <v>12.79</v>
      </c>
    </row>
    <row r="22" spans="2:5" x14ac:dyDescent="0.25">
      <c r="B22" s="33" t="s">
        <v>5</v>
      </c>
      <c r="E22" s="58">
        <f>E20/E21-1</f>
        <v>0.12305040680190782</v>
      </c>
    </row>
    <row r="24" ht="42" customHeight="1" spans="2:10" x14ac:dyDescent="0.25">
      <c r="B24" s="14" t="s">
        <v>128</v>
      </c>
      <c r="C24" s="14"/>
      <c r="D24" s="14"/>
      <c r="E24" s="14"/>
      <c r="F24" s="14"/>
      <c r="G24" s="14"/>
      <c r="H24" s="14"/>
      <c r="I24" s="14"/>
      <c r="J24" s="14"/>
    </row>
  </sheetData>
  <mergeCells count="4">
    <mergeCell ref="A1:J1"/>
    <mergeCell ref="A2:J2"/>
    <mergeCell ref="B9:J9"/>
    <mergeCell ref="B24:J24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2" customWidth="1"/>
    <col min="3" max="8" width="13" customWidth="1"/>
  </cols>
  <sheetData>
    <row r="1" ht="30" customHeight="1" spans="1:8" x14ac:dyDescent="0.25">
      <c r="A1" s="15" t="s">
        <v>129</v>
      </c>
      <c r="B1" s="15"/>
      <c r="C1" s="15"/>
      <c r="D1" s="15"/>
      <c r="E1" s="15"/>
      <c r="F1" s="15"/>
      <c r="G1" s="15"/>
      <c r="H1" s="15"/>
    </row>
    <row r="2" ht="16" customHeight="1" spans="1:8" x14ac:dyDescent="0.25">
      <c r="A2" s="16" t="s">
        <v>130</v>
      </c>
      <c r="B2" s="16"/>
      <c r="C2" s="16"/>
      <c r="D2" s="16"/>
      <c r="E2" s="16"/>
      <c r="F2" s="16"/>
      <c r="G2" s="16"/>
      <c r="H2" s="16"/>
    </row>
    <row r="4" ht="20" customHeight="1" spans="2:8" x14ac:dyDescent="0.25">
      <c r="B4" s="17" t="s">
        <v>131</v>
      </c>
      <c r="C4" s="17"/>
      <c r="D4" s="17"/>
      <c r="E4" s="17"/>
      <c r="F4" s="17"/>
      <c r="G4" s="17"/>
      <c r="H4" s="17"/>
    </row>
    <row r="5" spans="2:7" x14ac:dyDescent="0.25">
      <c r="B5" s="25" t="s">
        <v>132</v>
      </c>
      <c r="C5" s="59">
        <f>'Assumptions'!C27+-0.0100</f>
        <v>0.1230552835392577</v>
      </c>
      <c r="D5" s="59">
        <f>'Assumptions'!C27+-0.0050</f>
        <v>0.12805528353925769</v>
      </c>
      <c r="E5" s="59">
        <f>'Assumptions'!C27+0.0000</f>
        <v>0.1330552835392577</v>
      </c>
      <c r="F5" s="59">
        <f>'Assumptions'!C27+0.0050</f>
        <v>0.1380552835392577</v>
      </c>
      <c r="G5" s="59">
        <f>'Assumptions'!C27+0.0100</f>
        <v>0.1430552835392577</v>
      </c>
    </row>
    <row r="6" spans="2:7" x14ac:dyDescent="0.25">
      <c r="B6" s="60">
        <f>'Assumptions'!C29+-0.0050</f>
        <v>0.024999999999999998</v>
      </c>
      <c r="C6" s="44">
        <f>('DCF'!F4/(1+C$5)^1+'DCF'!G4/(1+C$5)^2+'DCF'!H4/(1+C$5)^3+'DCF'!I4/(1+C$5)^4+'DCF'!J4/(1+C$5)^5+'DCF'!J4*(1+$B6)/(C$5-$B6)/(1+C$5)^5+'Assumptions'!C23)/'Assumptions'!C17</f>
        <v>15.431018640932963</v>
      </c>
      <c r="D6" s="44">
        <f>('DCF'!F4/(1+D$5)^1+'DCF'!G4/(1+D$5)^2+'DCF'!H4/(1+D$5)^3+'DCF'!I4/(1+D$5)^4+'DCF'!J4/(1+D$5)^5+'DCF'!J4*(1+$B6)/(D$5-$B6)/(1+D$5)^5+'Assumptions'!C23)/'Assumptions'!C17</f>
        <v>14.600963344856561</v>
      </c>
      <c r="E6" s="44">
        <f>('DCF'!F4/(1+E$5)^1+'DCF'!G4/(1+E$5)^2+'DCF'!H4/(1+E$5)^3+'DCF'!I4/(1+E$5)^4+'DCF'!J4/(1+E$5)^5+'DCF'!J4*(1+$B6)/(E$5-$B6)/(1+E$5)^5+'Assumptions'!C23)/'Assumptions'!C17</f>
        <v>13.84905043179745</v>
      </c>
      <c r="F6" s="44">
        <f>('DCF'!F4/(1+F$5)^1+'DCF'!G4/(1+F$5)^2+'DCF'!H4/(1+F$5)^3+'DCF'!I4/(1+F$5)^4+'DCF'!J4/(1+F$5)^5+'DCF'!J4*(1+$B6)/(F$5-$B6)/(1+F$5)^5+'Assumptions'!C23)/'Assumptions'!C17</f>
        <v>13.16488449639763</v>
      </c>
      <c r="G6" s="44">
        <f>('DCF'!F4/(1+G$5)^1+'DCF'!G4/(1+G$5)^2+'DCF'!H4/(1+G$5)^3+'DCF'!I4/(1+G$5)^4+'DCF'!J4/(1+G$5)^5+'DCF'!J4*(1+$B6)/(G$5-$B6)/(1+G$5)^5+'Assumptions'!C23)/'Assumptions'!C17</f>
        <v>12.53983195000836</v>
      </c>
    </row>
    <row r="7" spans="2:7" x14ac:dyDescent="0.25">
      <c r="B7" s="60">
        <f>'Assumptions'!C29+-0.0025</f>
        <v>0.0275</v>
      </c>
      <c r="C7" s="44">
        <f>('DCF'!F4/(1+C$5)^1+'DCF'!G4/(1+C$5)^2+'DCF'!H4/(1+C$5)^3+'DCF'!I4/(1+C$5)^4+'DCF'!J4/(1+C$5)^5+'DCF'!J4*(1+$B7)/(C$5-$B7)/(1+C$5)^5+'Assumptions'!C23)/'Assumptions'!C17</f>
        <v>15.747952635310304</v>
      </c>
      <c r="D7" s="44">
        <f>('DCF'!F4/(1+D$5)^1+'DCF'!G4/(1+D$5)^2+'DCF'!H4/(1+D$5)^3+'DCF'!I4/(1+D$5)^4+'DCF'!J4/(1+D$5)^5+'DCF'!J4*(1+$B7)/(D$5-$B7)/(1+D$5)^5+'Assumptions'!C23)/'Assumptions'!C17</f>
        <v>14.882478887532011</v>
      </c>
      <c r="E7" s="44">
        <f>('DCF'!F4/(1+E$5)^1+'DCF'!G4/(1+E$5)^2+'DCF'!H4/(1+E$5)^3+'DCF'!I4/(1+E$5)^4+'DCF'!J4/(1+E$5)^5+'DCF'!J4*(1+$B7)/(E$5-$B7)/(1+E$5)^5+'Assumptions'!C23)/'Assumptions'!C17</f>
        <v>14.10033665900254</v>
      </c>
      <c r="F7" s="44">
        <f>('DCF'!F4/(1+F$5)^1+'DCF'!G4/(1+F$5)^2+'DCF'!H4/(1+F$5)^3+'DCF'!I4/(1+F$5)^4+'DCF'!J4/(1+F$5)^5+'DCF'!J4*(1+$B7)/(F$5-$B7)/(1+F$5)^5+'Assumptions'!C23)/'Assumptions'!C17</f>
        <v>13.390191798492541</v>
      </c>
      <c r="G7" s="44">
        <f>('DCF'!F4/(1+G$5)^1+'DCF'!G4/(1+G$5)^2+'DCF'!H4/(1+G$5)^3+'DCF'!I4/(1+G$5)^4+'DCF'!J4/(1+G$5)^5+'DCF'!J4*(1+$B7)/(G$5-$B7)/(1+G$5)^5+'Assumptions'!C23)/'Assumptions'!C17</f>
        <v>12.742672553106164</v>
      </c>
    </row>
    <row r="8" spans="2:7" x14ac:dyDescent="0.25">
      <c r="B8" s="60">
        <f>'Assumptions'!C29+0.0000</f>
        <v>0.03</v>
      </c>
      <c r="C8" s="44">
        <f>('DCF'!F4/(1+C$5)^1+'DCF'!G4/(1+C$5)^2+'DCF'!H4/(1+C$5)^3+'DCF'!I4/(1+C$5)^4+'DCF'!J4/(1+C$5)^5+'DCF'!J4*(1+$B8)/(C$5-$B8)/(1+C$5)^5+'Assumptions'!C23)/'Assumptions'!C17</f>
        <v>16.08191596871725</v>
      </c>
      <c r="D8" s="44">
        <f>('DCF'!F4/(1+D$5)^1+'DCF'!G4/(1+D$5)^2+'DCF'!H4/(1+D$5)^3+'DCF'!I4/(1+D$5)^4+'DCF'!J4/(1+D$5)^5+'DCF'!J4*(1+$B8)/(D$5-$B8)/(1+D$5)^5+'Assumptions'!C23)/'Assumptions'!C17</f>
        <v>15.178349370222637</v>
      </c>
      <c r="E8" s="57">
        <f>('DCF'!F4/(1+E$5)^1+'DCF'!G4/(1+E$5)^2+'DCF'!H4/(1+E$5)^3+'DCF'!I4/(1+E$5)^4+'DCF'!J4/(1+E$5)^5+'DCF'!J4*(1+$B8)/(E$5-$B8)/(1+E$5)^5+'Assumptions'!C23)/'Assumptions'!C17</f>
        <v>14.363814702996402</v>
      </c>
      <c r="F8" s="44">
        <f>('DCF'!F4/(1+F$5)^1+'DCF'!G4/(1+F$5)^2+'DCF'!H4/(1+F$5)^3+'DCF'!I4/(1+F$5)^4+'DCF'!J4/(1+F$5)^5+'DCF'!J4*(1+$B8)/(F$5-$B8)/(1+F$5)^5+'Assumptions'!C23)/'Assumptions'!C17</f>
        <v>13.625924657520677</v>
      </c>
      <c r="G8" s="44">
        <f>('DCF'!F4/(1+G$5)^1+'DCF'!G4/(1+G$5)^2+'DCF'!H4/(1+G$5)^3+'DCF'!I4/(1+G$5)^4+'DCF'!J4/(1+G$5)^5+'DCF'!J4*(1+$B8)/(G$5-$B8)/(1+G$5)^5+'Assumptions'!C23)/'Assumptions'!C17</f>
        <v>12.954484015271664</v>
      </c>
    </row>
    <row r="9" spans="2:7" x14ac:dyDescent="0.25">
      <c r="B9" s="60">
        <f>'Assumptions'!C29+0.0025</f>
        <v>0.0325</v>
      </c>
      <c r="C9" s="44">
        <f>('DCF'!F4/(1+C$5)^1+'DCF'!G4/(1+C$5)^2+'DCF'!H4/(1+C$5)^3+'DCF'!I4/(1+C$5)^4+'DCF'!J4/(1+C$5)^5+'DCF'!J4*(1+$B9)/(C$5-$B9)/(1+C$5)^5+'Assumptions'!C23)/'Assumptions'!C17</f>
        <v>16.43431905077024</v>
      </c>
      <c r="D9" s="44">
        <f>('DCF'!F4/(1+D$5)^1+'DCF'!G4/(1+D$5)^2+'DCF'!H4/(1+D$5)^3+'DCF'!I4/(1+D$5)^4+'DCF'!J4/(1+D$5)^5+'DCF'!J4*(1+$B9)/(D$5-$B9)/(1+D$5)^5+'Assumptions'!C23)/'Assumptions'!C17</f>
        <v>15.489701492009079</v>
      </c>
      <c r="E9" s="44">
        <f>('DCF'!F4/(1+E$5)^1+'DCF'!G4/(1+E$5)^2+'DCF'!H4/(1+E$5)^3+'DCF'!I4/(1+E$5)^4+'DCF'!J4/(1+E$5)^5+'DCF'!J4*(1+$B9)/(E$5-$B9)/(1+E$5)^5+'Assumptions'!C23)/'Assumptions'!C17</f>
        <v>14.640393900640282</v>
      </c>
      <c r="F9" s="44">
        <f>('DCF'!F4/(1+F$5)^1+'DCF'!G4/(1+F$5)^2+'DCF'!H4/(1+F$5)^3+'DCF'!I4/(1+F$5)^4+'DCF'!J4/(1+F$5)^5+'DCF'!J4*(1+$B9)/(F$5-$B9)/(1+F$5)^5+'Assumptions'!C23)/'Assumptions'!C17</f>
        <v>13.872823838646772</v>
      </c>
      <c r="G9" s="44">
        <f>('DCF'!F4/(1+G$5)^1+'DCF'!G4/(1+G$5)^2+'DCF'!H4/(1+G$5)^3+'DCF'!I4/(1+G$5)^4+'DCF'!J4/(1+G$5)^5+'DCF'!J4*(1+$B9)/(G$5-$B9)/(1+G$5)^5+'Assumptions'!C23)/'Assumptions'!C17</f>
        <v>13.175874913868634</v>
      </c>
    </row>
    <row r="10" spans="2:7" x14ac:dyDescent="0.25">
      <c r="B10" s="60">
        <f>'Assumptions'!C29+0.0050</f>
        <v>0.034999999999999996</v>
      </c>
      <c r="C10" s="44">
        <f>('DCF'!F4/(1+C$5)^1+'DCF'!G4/(1+C$5)^2+'DCF'!H4/(1+C$5)^3+'DCF'!I4/(1+C$5)^4+'DCF'!J4/(1+C$5)^5+'DCF'!J4*(1+$B10)/(C$5-$B10)/(1+C$5)^5+'Assumptions'!C23)/'Assumptions'!C17</f>
        <v>16.806732464281414</v>
      </c>
      <c r="D10" s="44">
        <f>('DCF'!F4/(1+D$5)^1+'DCF'!G4/(1+D$5)^2+'DCF'!H4/(1+D$5)^3+'DCF'!I4/(1+D$5)^4+'DCF'!J4/(1+D$5)^5+'DCF'!J4*(1+$B10)/(D$5-$B10)/(1+D$5)^5+'Assumptions'!C23)/'Assumptions'!C17</f>
        <v>15.817783030436061</v>
      </c>
      <c r="E10" s="44">
        <f>('DCF'!F4/(1+E$5)^1+'DCF'!G4/(1+E$5)^2+'DCF'!H4/(1+E$5)^3+'DCF'!I4/(1+E$5)^4+'DCF'!J4/(1+E$5)^5+'DCF'!J4*(1+$B10)/(E$5-$B10)/(1+E$5)^5+'Assumptions'!C23)/'Assumptions'!C17</f>
        <v>14.931076325956395</v>
      </c>
      <c r="F10" s="44">
        <f>('DCF'!F4/(1+F$5)^1+'DCF'!G4/(1+F$5)^2+'DCF'!H4/(1+F$5)^3+'DCF'!I4/(1+F$5)^4+'DCF'!J4/(1+F$5)^5+'DCF'!J4*(1+$B10)/(F$5-$B10)/(1+F$5)^5+'Assumptions'!C23)/'Assumptions'!C17</f>
        <v>14.131701987402995</v>
      </c>
      <c r="G10" s="44">
        <f>('DCF'!F4/(1+G$5)^1+'DCF'!G4/(1+G$5)^2+'DCF'!H4/(1+G$5)^3+'DCF'!I4/(1+G$5)^4+'DCF'!J4/(1+G$5)^5+'DCF'!J4*(1+$B10)/(G$5-$B10)/(1+G$5)^5+'Assumptions'!C23)/'Assumptions'!C17</f>
        <v>13.407510147186937</v>
      </c>
    </row>
    <row r="12" ht="20" customHeight="1" spans="2:8" x14ac:dyDescent="0.25">
      <c r="B12" s="17" t="s">
        <v>133</v>
      </c>
      <c r="C12" s="17"/>
      <c r="D12" s="17"/>
      <c r="E12" s="17"/>
      <c r="F12" s="17"/>
      <c r="G12" s="17"/>
      <c r="H12" s="17"/>
    </row>
    <row r="13" spans="2:7" x14ac:dyDescent="0.25">
      <c r="B13" s="25" t="s">
        <v>134</v>
      </c>
      <c r="C13" s="61">
        <v>0.06</v>
      </c>
      <c r="D13" s="61">
        <v>0.08</v>
      </c>
      <c r="E13" s="61">
        <v>0.1</v>
      </c>
      <c r="F13" s="61">
        <v>0.12</v>
      </c>
      <c r="G13" s="61">
        <v>0.14</v>
      </c>
    </row>
    <row r="14" spans="2:7" x14ac:dyDescent="0.25">
      <c r="B14" s="62">
        <v>0.28</v>
      </c>
      <c r="C14" s="30">
        <f>'Revenue Drivers'!E8*(1+C13)^5*B14*0.12</f>
        <v>325.77592168220474</v>
      </c>
      <c r="D14" s="30">
        <f>'Revenue Drivers'!E8*(1+D13)^5*B14*0.12</f>
        <v>357.69134627625385</v>
      </c>
      <c r="E14" s="30">
        <f>'Revenue Drivers'!E8*(1+E13)^5*B14*0.12</f>
        <v>392.06049294720015</v>
      </c>
      <c r="F14" s="30">
        <f>'Revenue Drivers'!E8*(1+F13)^5*B14*0.12</f>
        <v>429.02220356085365</v>
      </c>
      <c r="G14" s="30">
        <f>'Revenue Drivers'!E8*(1+G13)^5*B14*0.12</f>
        <v>468.72046140879087</v>
      </c>
    </row>
    <row r="15" spans="2:7" x14ac:dyDescent="0.25">
      <c r="B15" s="62">
        <v>0.29</v>
      </c>
      <c r="C15" s="30">
        <f>'Revenue Drivers'!E8*(1+C13)^5*B15*0.12</f>
        <v>337.4107760279977</v>
      </c>
      <c r="D15" s="30">
        <f>'Revenue Drivers'!E8*(1+D13)^5*B15*0.12</f>
        <v>370.46603721469137</v>
      </c>
      <c r="E15" s="30">
        <f>'Revenue Drivers'!E8*(1+E13)^5*B15*0.12</f>
        <v>406.06265340960005</v>
      </c>
      <c r="F15" s="30">
        <f>'Revenue Drivers'!E8*(1+F13)^5*B15*0.12</f>
        <v>444.3444251165984</v>
      </c>
      <c r="G15" s="30">
        <f>'Revenue Drivers'!E8*(1+G13)^5*B15*0.12</f>
        <v>485.4604778876761</v>
      </c>
    </row>
    <row r="16" spans="2:7" x14ac:dyDescent="0.25">
      <c r="B16" s="62">
        <v>0.305</v>
      </c>
      <c r="C16" s="30">
        <f>'Revenue Drivers'!E8*(1+C13)^5*B16*0.12</f>
        <v>354.8630575466873</v>
      </c>
      <c r="D16" s="30">
        <f>'Revenue Drivers'!E8*(1+D13)^5*B16*0.12</f>
        <v>389.62807362234787</v>
      </c>
      <c r="E16" s="30">
        <f>'Revenue Drivers'!E8*(1+E13)^5*B16*0.12</f>
        <v>427.0658941032001</v>
      </c>
      <c r="F16" s="30">
        <f>'Revenue Drivers'!E8*(1+F13)^5*B16*0.12</f>
        <v>467.3277574502156</v>
      </c>
      <c r="G16" s="30">
        <f>'Revenue Drivers'!E8*(1+G13)^5*B16*0.12</f>
        <v>510.5705026060043</v>
      </c>
    </row>
    <row r="17" spans="2:7" x14ac:dyDescent="0.25">
      <c r="B17" s="62">
        <v>0.32</v>
      </c>
      <c r="C17" s="30">
        <f>'Revenue Drivers'!E8*(1+C13)^5*B17*0.12</f>
        <v>372.31533906537686</v>
      </c>
      <c r="D17" s="30">
        <f>'Revenue Drivers'!E8*(1+D13)^5*B17*0.12</f>
        <v>408.79011003000437</v>
      </c>
      <c r="E17" s="30">
        <f>'Revenue Drivers'!E8*(1+E13)^5*B17*0.12</f>
        <v>448.06913479680014</v>
      </c>
      <c r="F17" s="30">
        <f>'Revenue Drivers'!E8*(1+F13)^5*B17*0.12</f>
        <v>490.31108978383276</v>
      </c>
      <c r="G17" s="30">
        <f>'Revenue Drivers'!E8*(1+G13)^5*B17*0.12</f>
        <v>535.6805273243324</v>
      </c>
    </row>
    <row r="18" spans="2:7" x14ac:dyDescent="0.25">
      <c r="B18" s="62">
        <v>0.33</v>
      </c>
      <c r="C18" s="30">
        <f>'Revenue Drivers'!E8*(1+C13)^5*B18*0.12</f>
        <v>383.95019341116983</v>
      </c>
      <c r="D18" s="30">
        <f>'Revenue Drivers'!E8*(1+D13)^5*B18*0.12</f>
        <v>421.56480096844194</v>
      </c>
      <c r="E18" s="30">
        <f>'Revenue Drivers'!E8*(1+E13)^5*B18*0.12</f>
        <v>462.07129525920016</v>
      </c>
      <c r="F18" s="30">
        <f>'Revenue Drivers'!E8*(1+F13)^5*B18*0.12</f>
        <v>505.6333113395775</v>
      </c>
      <c r="G18" s="30">
        <f>'Revenue Drivers'!E8*(1+G13)^5*B18*0.12</f>
        <v>552.4205438032177</v>
      </c>
    </row>
    <row r="20" ht="42" customHeight="1" spans="2:8" x14ac:dyDescent="0.25">
      <c r="B20" s="14" t="s">
        <v>135</v>
      </c>
      <c r="C20" s="14"/>
      <c r="D20" s="14"/>
      <c r="E20" s="14"/>
      <c r="F20" s="14"/>
      <c r="G20" s="14"/>
      <c r="H20" s="14"/>
    </row>
  </sheetData>
  <mergeCells count="5">
    <mergeCell ref="A1:H1"/>
    <mergeCell ref="A2:H2"/>
    <mergeCell ref="B4:H4"/>
    <mergeCell ref="B12:H12"/>
    <mergeCell ref="B20:H20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G2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6" width="13" customWidth="1"/>
    <col min="7" max="7" width="15" customWidth="1"/>
  </cols>
  <sheetData>
    <row r="1" ht="30" customHeight="1" spans="1:7" x14ac:dyDescent="0.25">
      <c r="A1" s="15" t="s">
        <v>136</v>
      </c>
      <c r="B1" s="15"/>
      <c r="C1" s="15"/>
      <c r="D1" s="15"/>
      <c r="E1" s="15"/>
      <c r="F1" s="15"/>
      <c r="G1" s="15"/>
    </row>
    <row r="2" ht="16" customHeight="1" spans="1:7" x14ac:dyDescent="0.25">
      <c r="A2" s="16" t="s">
        <v>137</v>
      </c>
      <c r="B2" s="16"/>
      <c r="C2" s="16"/>
      <c r="D2" s="16"/>
      <c r="E2" s="16"/>
      <c r="F2" s="16"/>
      <c r="G2" s="16"/>
    </row>
    <row r="4" ht="20" customHeight="1" spans="2:7" x14ac:dyDescent="0.25">
      <c r="B4" s="17" t="s">
        <v>138</v>
      </c>
      <c r="C4" s="17"/>
      <c r="D4" s="17"/>
      <c r="E4" s="17"/>
      <c r="F4" s="17"/>
      <c r="G4" s="17"/>
    </row>
    <row r="5" spans="2:6" x14ac:dyDescent="0.25">
      <c r="B5" s="63" t="s">
        <v>139</v>
      </c>
      <c r="C5" s="40" t="s">
        <v>140</v>
      </c>
      <c r="D5" s="40" t="s">
        <v>141</v>
      </c>
      <c r="E5" s="40" t="s">
        <v>142</v>
      </c>
      <c r="F5" s="40" t="s">
        <v>143</v>
      </c>
    </row>
    <row r="6" spans="2:6" x14ac:dyDescent="0.25">
      <c r="B6" s="33" t="s">
        <v>144</v>
      </c>
      <c r="C6" s="64">
        <v>1.88</v>
      </c>
      <c r="D6" s="64">
        <v>12.9</v>
      </c>
      <c r="E6" s="64">
        <v>16.7</v>
      </c>
      <c r="F6" s="65" t="s">
        <v>25</v>
      </c>
    </row>
    <row r="7" spans="2:6" x14ac:dyDescent="0.25">
      <c r="B7" s="42" t="s">
        <v>145</v>
      </c>
      <c r="C7" s="66" t="s">
        <v>146</v>
      </c>
      <c r="D7" s="66"/>
      <c r="E7" s="66"/>
      <c r="F7" s="66"/>
    </row>
    <row r="8" spans="2:6" x14ac:dyDescent="0.25">
      <c r="B8" s="33" t="s">
        <v>147</v>
      </c>
      <c r="C8" s="64">
        <v>5.53</v>
      </c>
      <c r="D8" s="64">
        <v>60.25</v>
      </c>
      <c r="E8" s="64">
        <v>91.43</v>
      </c>
      <c r="F8" s="65" t="s">
        <v>25</v>
      </c>
    </row>
    <row r="9" spans="2:6" x14ac:dyDescent="0.25">
      <c r="B9" s="33" t="s">
        <v>148</v>
      </c>
      <c r="C9" s="64">
        <v>0.97</v>
      </c>
      <c r="D9" s="64">
        <v>30.16</v>
      </c>
      <c r="E9" s="65" t="s">
        <v>25</v>
      </c>
      <c r="F9" s="65" t="s">
        <v>25</v>
      </c>
    </row>
    <row r="11" ht="20" customHeight="1" spans="2:7" x14ac:dyDescent="0.25">
      <c r="B11" s="17" t="s">
        <v>149</v>
      </c>
      <c r="C11" s="17"/>
      <c r="D11" s="17"/>
      <c r="E11" s="17"/>
      <c r="F11" s="17"/>
      <c r="G11" s="17"/>
    </row>
    <row r="12" spans="2:5" x14ac:dyDescent="0.25">
      <c r="B12" s="52" t="s">
        <v>150</v>
      </c>
      <c r="C12" s="30">
        <f>'Revenue Drivers'!E10</f>
        <v>2323.6</v>
      </c>
      <c r="D12" s="30">
        <f>'3-Statement'!E7</f>
        <v>193</v>
      </c>
      <c r="E12" s="30">
        <f>'3-Statement'!E10</f>
        <v>73</v>
      </c>
    </row>
    <row r="13" spans="2:6" x14ac:dyDescent="0.25">
      <c r="B13" s="18" t="s">
        <v>151</v>
      </c>
      <c r="C13" s="44">
        <f>(C6*C12+'Assumptions'!C23)/'Assumptions'!C17</f>
        <v>20.89711965534989</v>
      </c>
      <c r="D13" s="44">
        <f>(D6*D12+'Assumptions'!C23)/'Assumptions'!C17</f>
        <v>11.944089670028022</v>
      </c>
      <c r="E13" s="44">
        <f>E6*E12/'Assumptions'!C17</f>
        <v>5.809775253054766</v>
      </c>
      <c r="F13" s="65" t="s">
        <v>25</v>
      </c>
    </row>
    <row r="14" spans="2:6" x14ac:dyDescent="0.25">
      <c r="B14" s="18" t="s">
        <v>152</v>
      </c>
      <c r="C14" s="44">
        <f>(C8*C12+'Assumptions'!C23)/'Assumptions'!C17</f>
        <v>61.31506509845784</v>
      </c>
      <c r="D14" s="44">
        <f>(D8*D12+'Assumptions'!C23)/'Assumptions'!C17</f>
        <v>55.495005623439255</v>
      </c>
      <c r="E14" s="44">
        <f>E8*E12/'Assumptions'!C17</f>
        <v>31.807649783640557</v>
      </c>
      <c r="F14" s="65" t="s">
        <v>25</v>
      </c>
    </row>
    <row r="15" spans="2:6" x14ac:dyDescent="0.25">
      <c r="B15" s="18" t="s">
        <v>153</v>
      </c>
      <c r="C15" s="44">
        <f>(C9*C12+'Assumptions'!C23)/'Assumptions'!C17</f>
        <v>10.820316818849005</v>
      </c>
      <c r="D15" s="44">
        <f>(D9*D12+'Assumptions'!C23)/'Assumptions'!C17</f>
        <v>27.819249318515414</v>
      </c>
      <c r="E15" s="65" t="s">
        <v>25</v>
      </c>
      <c r="F15" s="65" t="s">
        <v>25</v>
      </c>
    </row>
    <row r="17" ht="20" customHeight="1" spans="2:7" x14ac:dyDescent="0.25">
      <c r="B17" s="17" t="s">
        <v>154</v>
      </c>
      <c r="C17" s="17"/>
      <c r="D17" s="17"/>
      <c r="E17" s="17"/>
      <c r="F17" s="17"/>
      <c r="G17" s="17"/>
    </row>
    <row r="18" spans="2:3" x14ac:dyDescent="0.25">
      <c r="B18" s="18" t="s">
        <v>155</v>
      </c>
      <c r="C18" s="44">
        <f>MIN(C13:E15)</f>
        <v>5.809775253054766</v>
      </c>
    </row>
    <row r="19" spans="2:3" x14ac:dyDescent="0.25">
      <c r="B19" s="33" t="s">
        <v>156</v>
      </c>
      <c r="C19" s="57">
        <f>MEDIAN(C13:E15)</f>
        <v>24.35818448693265</v>
      </c>
    </row>
    <row r="20" spans="2:3" x14ac:dyDescent="0.25">
      <c r="B20" s="18" t="s">
        <v>157</v>
      </c>
      <c r="C20" s="44">
        <f>MAX(C13:E15)</f>
        <v>61.31506509845784</v>
      </c>
    </row>
    <row r="21" spans="2:3" x14ac:dyDescent="0.25">
      <c r="B21" s="33" t="s">
        <v>158</v>
      </c>
      <c r="C21" s="57">
        <f>'DCF'!E20</f>
        <v>14.3638147029964</v>
      </c>
    </row>
    <row r="22" spans="2:3" x14ac:dyDescent="0.25">
      <c r="B22" s="18" t="s">
        <v>38</v>
      </c>
      <c r="C22" s="67">
        <f>'Assumptions'!C18</f>
        <v>12.79</v>
      </c>
    </row>
    <row r="24" ht="42" customHeight="1" spans="2:7" x14ac:dyDescent="0.25">
      <c r="B24" s="14" t="s">
        <v>159</v>
      </c>
      <c r="C24" s="14"/>
      <c r="D24" s="14"/>
      <c r="E24" s="14"/>
      <c r="F24" s="14"/>
      <c r="G24" s="14"/>
    </row>
  </sheetData>
  <mergeCells count="7">
    <mergeCell ref="A1:G1"/>
    <mergeCell ref="A2:G2"/>
    <mergeCell ref="B4:G4"/>
    <mergeCell ref="C7:F7"/>
    <mergeCell ref="B11:G11"/>
    <mergeCell ref="B17:G17"/>
    <mergeCell ref="B24:G24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H6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34" customWidth="1"/>
    <col min="3" max="8" width="13" customWidth="1"/>
  </cols>
  <sheetData>
    <row r="1" ht="30" customHeight="1" spans="1:8" x14ac:dyDescent="0.25">
      <c r="A1" s="15" t="s">
        <v>160</v>
      </c>
      <c r="B1" s="15"/>
      <c r="C1" s="15"/>
      <c r="D1" s="15"/>
      <c r="E1" s="15"/>
      <c r="F1" s="15"/>
      <c r="G1" s="15"/>
      <c r="H1" s="15"/>
    </row>
    <row r="2" ht="16" customHeight="1" spans="1:8" x14ac:dyDescent="0.25">
      <c r="A2" s="16" t="s">
        <v>161</v>
      </c>
      <c r="B2" s="16"/>
      <c r="C2" s="16"/>
      <c r="D2" s="16"/>
      <c r="E2" s="16"/>
      <c r="F2" s="16"/>
      <c r="G2" s="16"/>
      <c r="H2" s="16"/>
    </row>
    <row r="4" ht="20" customHeight="1" spans="2:8" x14ac:dyDescent="0.25">
      <c r="B4" s="17" t="s">
        <v>162</v>
      </c>
      <c r="C4" s="17"/>
      <c r="D4" s="17"/>
      <c r="E4" s="17"/>
      <c r="F4" s="17"/>
      <c r="G4" s="17"/>
      <c r="H4" s="17"/>
    </row>
    <row r="5" spans="2:6" x14ac:dyDescent="0.25">
      <c r="B5" s="63" t="s">
        <v>163</v>
      </c>
      <c r="C5" s="40" t="s">
        <v>164</v>
      </c>
      <c r="D5" s="39" t="s">
        <v>165</v>
      </c>
      <c r="E5" s="40" t="s">
        <v>166</v>
      </c>
      <c r="F5" s="40" t="s">
        <v>167</v>
      </c>
    </row>
    <row r="6" spans="2:8" x14ac:dyDescent="0.25">
      <c r="B6" s="18" t="s">
        <v>168</v>
      </c>
      <c r="C6" s="37">
        <v>0.25</v>
      </c>
      <c r="D6" s="37">
        <v>0.5</v>
      </c>
      <c r="E6" s="37">
        <v>0.25</v>
      </c>
      <c r="F6" s="32">
        <f>SUM(C6:E6)</f>
        <v>1</v>
      </c>
      <c r="G6" s="25" t="s">
        <v>169</v>
      </c>
      <c r="H6" s="27">
        <v>0.035</v>
      </c>
    </row>
    <row r="7" spans="2:8" x14ac:dyDescent="0.25">
      <c r="B7" s="33" t="s">
        <v>126</v>
      </c>
      <c r="C7" s="68">
        <f>'Scenarios &amp; Risk'!E21</f>
        <v>19.238420922087336</v>
      </c>
      <c r="D7" s="68">
        <f>'Scenarios &amp; Risk'!E34</f>
        <v>14.3638147029964</v>
      </c>
      <c r="E7" s="68">
        <f>'Scenarios &amp; Risk'!E47</f>
        <v>10.027441630376204</v>
      </c>
      <c r="F7" s="57">
        <f>C6*C7+D6*D7+E6*E7</f>
        <v>14.498372989614085</v>
      </c>
      <c r="G7" s="25" t="s">
        <v>170</v>
      </c>
      <c r="H7" s="27">
        <v>0.025</v>
      </c>
    </row>
    <row r="8" spans="2:6" x14ac:dyDescent="0.25">
      <c r="B8" s="18" t="s">
        <v>171</v>
      </c>
      <c r="C8" s="32">
        <f>C7/'Assumptions'!C18-1</f>
        <v>0.5041767726416995</v>
      </c>
      <c r="D8" s="32">
        <f>D7/'Assumptions'!C18-1</f>
        <v>0.12305040680190782</v>
      </c>
      <c r="E8" s="32">
        <f>E7/'Assumptions'!C18-1</f>
        <v>-0.21599361764064073</v>
      </c>
      <c r="F8" s="58">
        <f>F7/'Assumptions'!C18-1</f>
        <v>0.13357099215121848</v>
      </c>
    </row>
    <row r="9" spans="2:6" x14ac:dyDescent="0.25">
      <c r="B9" s="33" t="s">
        <v>172</v>
      </c>
      <c r="C9" s="69">
        <f>'Scenarios &amp; Risk'!E23</f>
        <v>0.2593739226954621</v>
      </c>
      <c r="D9" s="69">
        <f>'Scenarios &amp; Risk'!E36</f>
        <v>0.17065733106145453</v>
      </c>
      <c r="E9" s="69">
        <f>'Scenarios &amp; Risk'!E49</f>
        <v>0.07006430290821064</v>
      </c>
      <c r="F9" s="58">
        <f>C6*C9+D6*D9+E6*E9</f>
        <v>0.16768822193164545</v>
      </c>
    </row>
    <row r="11" ht="20" customHeight="1" spans="2:8" x14ac:dyDescent="0.25">
      <c r="B11" s="17" t="s">
        <v>173</v>
      </c>
      <c r="C11" s="17"/>
      <c r="D11" s="17"/>
      <c r="E11" s="17"/>
      <c r="F11" s="17"/>
      <c r="G11" s="17"/>
      <c r="H11" s="17"/>
    </row>
    <row r="12" spans="2:7" x14ac:dyDescent="0.25">
      <c r="B12" s="25" t="s">
        <v>174</v>
      </c>
      <c r="C12" s="70" t="s">
        <v>68</v>
      </c>
      <c r="D12" s="70" t="s">
        <v>69</v>
      </c>
      <c r="E12" s="70" t="s">
        <v>70</v>
      </c>
      <c r="F12" s="70" t="s">
        <v>71</v>
      </c>
      <c r="G12" s="70" t="s">
        <v>72</v>
      </c>
    </row>
    <row r="13" spans="2:7" x14ac:dyDescent="0.25">
      <c r="B13" s="42" t="s">
        <v>175</v>
      </c>
      <c r="C13" s="43">
        <v>0.23864035303838868</v>
      </c>
      <c r="D13" s="43">
        <v>0.17601290322580662</v>
      </c>
      <c r="E13" s="43">
        <v>0.14770000000000025</v>
      </c>
      <c r="F13" s="43">
        <v>0.12210000000000008</v>
      </c>
      <c r="G13" s="43">
        <v>0.11180000000000033</v>
      </c>
    </row>
    <row r="14" spans="2:7" x14ac:dyDescent="0.25">
      <c r="B14" s="18" t="s">
        <v>94</v>
      </c>
      <c r="C14" s="30">
        <f>'Revenue Drivers'!E10*(1+C13)</f>
        <v>2878.10472432</v>
      </c>
      <c r="D14" s="30">
        <f>C14*(1+D13)</f>
        <v>3384.6882926354733</v>
      </c>
      <c r="E14" s="30">
        <f>D14*(1+E13)</f>
        <v>3884.6067534577332</v>
      </c>
      <c r="F14" s="30">
        <f>E14*(1+F13)</f>
        <v>4358.917238054923</v>
      </c>
      <c r="G14" s="30">
        <f>F14*(1+G13)</f>
        <v>4846.244185269465</v>
      </c>
    </row>
    <row r="15" spans="2:7" x14ac:dyDescent="0.25">
      <c r="B15" s="42" t="s">
        <v>176</v>
      </c>
      <c r="C15" s="43">
        <v>0.09</v>
      </c>
      <c r="D15" s="43">
        <v>0.105</v>
      </c>
      <c r="E15" s="43">
        <v>0.12</v>
      </c>
      <c r="F15" s="43">
        <v>0.13</v>
      </c>
      <c r="G15" s="43">
        <v>0.135</v>
      </c>
    </row>
    <row r="16" spans="2:7" x14ac:dyDescent="0.25">
      <c r="B16" s="33" t="s">
        <v>177</v>
      </c>
      <c r="C16" s="48">
        <f>(C14*C15-C14*'Assumptions'!C33)*(1-'Assumptions'!C14)+C14*'Assumptions'!C33-C14*'Assumptions'!C34-(C14-'Revenue Drivers'!E10)*'Assumptions'!C35</f>
        <v>172.02931859846</v>
      </c>
      <c r="D16" s="48">
        <f>(D14*D15-D14*'Assumptions'!C33)*(1-'Assumptions'!C14)+D14*'Assumptions'!C33-D14*'Assumptions'!C34-(D14-C14)*'Assumptions'!C35</f>
        <v>254.7201875324163</v>
      </c>
      <c r="E16" s="48">
        <f>(E14*E15-E14*'Assumptions'!C33)*(1-'Assumptions'!C14)+E14*'Assumptions'!C33-E14*'Assumptions'!C34-(E14-D14)*'Assumptions'!C35</f>
        <v>350.7844830109417</v>
      </c>
      <c r="F16" s="48">
        <f>(F14*F15-F14*'Assumptions'!C33)*(1-'Assumptions'!C14)+F14*'Assumptions'!C33-F14*'Assumptions'!C34-(F14-E14)*'Assumptions'!C35</f>
        <v>437.8476718634427</v>
      </c>
      <c r="G16" s="48">
        <f>(G14*G15-G14*'Assumptions'!C33)*(1-'Assumptions'!C14)+G14*'Assumptions'!C33-G14*'Assumptions'!C34-(G14-F14)*'Assumptions'!C35</f>
        <v>511.2247109721767</v>
      </c>
    </row>
    <row r="17" spans="2:5" x14ac:dyDescent="0.25">
      <c r="B17" s="18" t="s">
        <v>178</v>
      </c>
      <c r="E17" s="30">
        <f>C16/(1+'Assumptions'!C27)^1+D16/(1+'Assumptions'!C27)^2+E16/(1+'Assumptions'!C27)^3+F16/(1+'Assumptions'!C27)^4+G16/(1+'Assumptions'!C27)^5</f>
        <v>1130.793413876506</v>
      </c>
    </row>
    <row r="18" spans="2:5" x14ac:dyDescent="0.25">
      <c r="B18" s="18" t="s">
        <v>119</v>
      </c>
      <c r="E18" s="30">
        <f>G16*(1+'Scenarios &amp; Risk'!H6)/('Assumptions'!C27-'Scenarios &amp; Risk'!H6)/(1+'Assumptions'!C27)^5</f>
        <v>2889.5198787306126</v>
      </c>
    </row>
    <row r="19" spans="2:5" x14ac:dyDescent="0.25">
      <c r="B19" s="33" t="s">
        <v>179</v>
      </c>
      <c r="E19" s="48">
        <f>E17+E18</f>
        <v>4020.3132926071185</v>
      </c>
    </row>
    <row r="20" spans="2:5" x14ac:dyDescent="0.25">
      <c r="B20" s="18" t="s">
        <v>180</v>
      </c>
      <c r="E20" s="30">
        <f>E19+'Assumptions'!C23</f>
        <v>4036.9132926071184</v>
      </c>
    </row>
    <row r="21" spans="2:5" x14ac:dyDescent="0.25">
      <c r="B21" s="33" t="s">
        <v>126</v>
      </c>
      <c r="E21" s="57">
        <f>E20/'Assumptions'!C17</f>
        <v>19.238420922087336</v>
      </c>
    </row>
    <row r="22" spans="2:5" x14ac:dyDescent="0.25">
      <c r="B22" s="18" t="s">
        <v>181</v>
      </c>
      <c r="E22" s="32">
        <f>E21/'Assumptions'!C18-1</f>
        <v>0.5041767726416995</v>
      </c>
    </row>
    <row r="23" spans="2:5" x14ac:dyDescent="0.25">
      <c r="B23" s="33" t="s">
        <v>182</v>
      </c>
      <c r="E23" s="58">
        <f>(1+'Assumptions'!C11)*(E21/'Assumptions'!C18)^(1/'Assumptions'!C30)-1</f>
        <v>0.2593739226954621</v>
      </c>
    </row>
    <row r="24" ht="20" customHeight="1" spans="2:8" x14ac:dyDescent="0.25">
      <c r="B24" s="17" t="s">
        <v>183</v>
      </c>
      <c r="C24" s="17"/>
      <c r="D24" s="17"/>
      <c r="E24" s="17"/>
      <c r="F24" s="17"/>
      <c r="G24" s="17"/>
      <c r="H24" s="17"/>
    </row>
    <row r="25" spans="2:7" x14ac:dyDescent="0.25">
      <c r="B25" s="25" t="s">
        <v>174</v>
      </c>
      <c r="C25" s="71" t="s">
        <v>68</v>
      </c>
      <c r="D25" s="71" t="s">
        <v>69</v>
      </c>
      <c r="E25" s="71" t="s">
        <v>70</v>
      </c>
      <c r="F25" s="71" t="s">
        <v>71</v>
      </c>
      <c r="G25" s="71" t="s">
        <v>72</v>
      </c>
    </row>
    <row r="26" spans="2:7" x14ac:dyDescent="0.25">
      <c r="B26" s="42" t="s">
        <v>175</v>
      </c>
      <c r="C26" s="43">
        <v>0.20864035303838868</v>
      </c>
      <c r="D26" s="43">
        <v>0.14601290322580662</v>
      </c>
      <c r="E26" s="43">
        <v>0.12270000000000025</v>
      </c>
      <c r="F26" s="43">
        <v>0.10210000000000008</v>
      </c>
      <c r="G26" s="43">
        <v>0.09180000000000033</v>
      </c>
    </row>
    <row r="27" spans="2:7" x14ac:dyDescent="0.25">
      <c r="B27" s="18" t="s">
        <v>94</v>
      </c>
      <c r="C27" s="30">
        <f>'Revenue Drivers'!E10*(1+C26)</f>
        <v>2808.39672432</v>
      </c>
      <c r="D27" s="30">
        <f>C27*(1+D26)</f>
        <v>3218.4588834478086</v>
      </c>
      <c r="E27" s="30">
        <f>D27*(1+E26)</f>
        <v>3613.3637884468553</v>
      </c>
      <c r="F27" s="30">
        <f>E27*(1+F26)</f>
        <v>3982.2882312472793</v>
      </c>
      <c r="G27" s="30">
        <f>F27*(1+G26)</f>
        <v>4347.862290875781</v>
      </c>
    </row>
    <row r="28" spans="2:7" x14ac:dyDescent="0.25">
      <c r="B28" s="42" t="s">
        <v>176</v>
      </c>
      <c r="C28" s="43">
        <v>0.075</v>
      </c>
      <c r="D28" s="43">
        <v>0.09</v>
      </c>
      <c r="E28" s="43">
        <v>0.105</v>
      </c>
      <c r="F28" s="43">
        <v>0.115</v>
      </c>
      <c r="G28" s="43">
        <v>0.12</v>
      </c>
    </row>
    <row r="29" spans="2:7" x14ac:dyDescent="0.25">
      <c r="B29" s="33" t="s">
        <v>177</v>
      </c>
      <c r="C29" s="48">
        <f>(C27*C28-C27*'Assumptions'!C33)*(1-'Assumptions'!C14)+C27*'Assumptions'!C33-C27*'Assumptions'!C34-(C27-'Revenue Drivers'!E10)*'Assumptions'!C35</f>
        <v>127.91550500528001</v>
      </c>
      <c r="D29" s="48">
        <f>(D27*D28-D27*'Assumptions'!C33)*(1-'Assumptions'!C14)+D27*'Assumptions'!C33-D27*'Assumptions'!C34-(D27-C27)*'Assumptions'!C35</f>
        <v>196.57320327681057</v>
      </c>
      <c r="E29" s="48">
        <f>(E27*E28-E27*'Assumptions'!C33)*(1-'Assumptions'!C14)+E27*'Assumptions'!C33-E27*'Assumptions'!C34-(E27-D27)*'Assumptions'!C35</f>
        <v>274.8476183459855</v>
      </c>
      <c r="F29" s="48">
        <f>(F27*F28-F27*'Assumptions'!C33)*(1-'Assumptions'!C14)+F27*'Assumptions'!C33-F27*'Assumptions'!C34-(F27-E27)*'Assumptions'!C35</f>
        <v>343.0628754937522</v>
      </c>
      <c r="G29" s="48">
        <f>(G27*G28-G27*'Assumptions'!C33)*(1-'Assumptions'!C14)+G27*'Assumptions'!C33-G27*'Assumptions'!C34-(G27-F27)*'Assumptions'!C35</f>
        <v>396.49622907251813</v>
      </c>
    </row>
    <row r="30" spans="2:5" x14ac:dyDescent="0.25">
      <c r="B30" s="18" t="s">
        <v>178</v>
      </c>
      <c r="E30" s="30">
        <f>C29/(1+'Assumptions'!C27)^1+D29/(1+'Assumptions'!C27)^2+E29/(1+'Assumptions'!C27)^3+F29/(1+'Assumptions'!C27)^4+G29/(1+'Assumptions'!C27)^5</f>
        <v>875.4202954531575</v>
      </c>
    </row>
    <row r="31" spans="2:5" x14ac:dyDescent="0.25">
      <c r="B31" s="18" t="s">
        <v>119</v>
      </c>
      <c r="E31" s="30">
        <f>G29*(1+'Assumptions'!C29)/('Assumptions'!C27-'Assumptions'!C29)/(1+'Assumptions'!C27)^5</f>
        <v>2122.0251265647953</v>
      </c>
    </row>
    <row r="32" spans="2:5" x14ac:dyDescent="0.25">
      <c r="B32" s="33" t="s">
        <v>179</v>
      </c>
      <c r="E32" s="48">
        <f>E30+E31</f>
        <v>2997.4454220179528</v>
      </c>
    </row>
    <row r="33" spans="2:5" x14ac:dyDescent="0.25">
      <c r="B33" s="18" t="s">
        <v>180</v>
      </c>
      <c r="E33" s="30">
        <f>E32+'Assumptions'!C23</f>
        <v>3014.0454220179527</v>
      </c>
    </row>
    <row r="34" spans="2:5" x14ac:dyDescent="0.25">
      <c r="B34" s="33" t="s">
        <v>126</v>
      </c>
      <c r="E34" s="57">
        <f>E33/'Assumptions'!C17</f>
        <v>14.3638147029964</v>
      </c>
    </row>
    <row r="35" spans="2:5" x14ac:dyDescent="0.25">
      <c r="B35" s="18" t="s">
        <v>181</v>
      </c>
      <c r="E35" s="32">
        <f>E34/'Assumptions'!C18-1</f>
        <v>0.12305040680190782</v>
      </c>
    </row>
    <row r="36" spans="2:5" x14ac:dyDescent="0.25">
      <c r="B36" s="33" t="s">
        <v>182</v>
      </c>
      <c r="E36" s="58">
        <f>(1+'Assumptions'!C11)*(E34/'Assumptions'!C18)^(1/'Assumptions'!C30)-1</f>
        <v>0.17065733106145453</v>
      </c>
    </row>
    <row r="37" ht="20" customHeight="1" spans="2:8" x14ac:dyDescent="0.25">
      <c r="B37" s="17" t="s">
        <v>184</v>
      </c>
      <c r="C37" s="17"/>
      <c r="D37" s="17"/>
      <c r="E37" s="17"/>
      <c r="F37" s="17"/>
      <c r="G37" s="17"/>
      <c r="H37" s="17"/>
    </row>
    <row r="38" spans="2:7" x14ac:dyDescent="0.25">
      <c r="B38" s="25" t="s">
        <v>174</v>
      </c>
      <c r="C38" s="72" t="s">
        <v>68</v>
      </c>
      <c r="D38" s="72" t="s">
        <v>69</v>
      </c>
      <c r="E38" s="72" t="s">
        <v>70</v>
      </c>
      <c r="F38" s="72" t="s">
        <v>71</v>
      </c>
      <c r="G38" s="72" t="s">
        <v>72</v>
      </c>
    </row>
    <row r="39" spans="2:7" x14ac:dyDescent="0.25">
      <c r="B39" s="42" t="s">
        <v>175</v>
      </c>
      <c r="C39" s="43">
        <v>0.16864035303838867</v>
      </c>
      <c r="D39" s="43">
        <v>0.10601290322580662</v>
      </c>
      <c r="E39" s="43">
        <v>0.08770000000000025</v>
      </c>
      <c r="F39" s="43">
        <v>0.07210000000000008</v>
      </c>
      <c r="G39" s="43">
        <v>0.06180000000000033</v>
      </c>
    </row>
    <row r="40" spans="2:7" x14ac:dyDescent="0.25">
      <c r="B40" s="18" t="s">
        <v>94</v>
      </c>
      <c r="C40" s="30">
        <f>'Revenue Drivers'!E10*(1+C39)</f>
        <v>2715.4527243199996</v>
      </c>
      <c r="D40" s="30">
        <f>C40*(1+D39)</f>
        <v>3003.3257511975885</v>
      </c>
      <c r="E40" s="30">
        <f>D40*(1+E39)</f>
        <v>3266.717419577618</v>
      </c>
      <c r="F40" s="30">
        <f>E40*(1+F39)</f>
        <v>3502.247745529164</v>
      </c>
      <c r="G40" s="30">
        <f>F40*(1+G39)</f>
        <v>3718.6866562028677</v>
      </c>
    </row>
    <row r="41" spans="2:7" x14ac:dyDescent="0.25">
      <c r="B41" s="42" t="s">
        <v>176</v>
      </c>
      <c r="C41" s="43">
        <v>0.06</v>
      </c>
      <c r="D41" s="43">
        <v>0.075</v>
      </c>
      <c r="E41" s="43">
        <v>0.09</v>
      </c>
      <c r="F41" s="43">
        <v>0.1</v>
      </c>
      <c r="G41" s="43">
        <v>0.105</v>
      </c>
    </row>
    <row r="42" spans="2:7" x14ac:dyDescent="0.25">
      <c r="B42" s="33" t="s">
        <v>177</v>
      </c>
      <c r="C42" s="48">
        <f>(C40*C41-C40*'Assumptions'!C33)*(1-'Assumptions'!C14)+C40*'Assumptions'!C33-C40*'Assumptions'!C34-(C40-'Revenue Drivers'!E10)*'Assumptions'!C35</f>
        <v>85.50663291209997</v>
      </c>
      <c r="D42" s="48">
        <f>(D40*D41-D40*'Assumptions'!C33)*(1-'Assumptions'!C14)+D40*'Assumptions'!C33-D40*'Assumptions'!C34-(D40-C40)*'Assumptions'!C35</f>
        <v>141.40550127113005</v>
      </c>
      <c r="E42" s="48">
        <f>(E40*E41-E40*'Assumptions'!C33)*(1-'Assumptions'!C14)+E40*'Assumptions'!C33-E40*'Assumptions'!C34-(E40-D40)*'Assumptions'!C35</f>
        <v>202.57706245302532</v>
      </c>
      <c r="F42" s="48">
        <f>(F40*F41-F40*'Assumptions'!C33)*(1-'Assumptions'!C14)+F40*'Assumptions'!C33-F40*'Assumptions'!C34-(F40-E40)*'Assumptions'!C35</f>
        <v>252.26682180917146</v>
      </c>
      <c r="G42" s="48">
        <f>(G40*G41-G40*'Assumptions'!C33)*(1-'Assumptions'!C14)+G40*'Assumptions'!C33-G40*'Assumptions'!C34-(G40-F40)*'Assumptions'!C35</f>
        <v>286.6584526344003</v>
      </c>
    </row>
    <row r="43" spans="2:5" x14ac:dyDescent="0.25">
      <c r="B43" s="18" t="s">
        <v>178</v>
      </c>
      <c r="E43" s="30">
        <f>C42/(1+'Assumptions'!C27)^1+D42/(1+'Assumptions'!C27)^2+E42/(1+'Assumptions'!C27)^3+F42/(1+'Assumptions'!C27)^4+G42/(1+'Assumptions'!C27)^5</f>
        <v>631.4319646911823</v>
      </c>
    </row>
    <row r="44" spans="2:5" x14ac:dyDescent="0.25">
      <c r="B44" s="18" t="s">
        <v>119</v>
      </c>
      <c r="E44" s="30">
        <f>G42*(1+'Scenarios &amp; Risk'!H7)/('Assumptions'!C27-'Scenarios &amp; Risk'!H7)/(1+'Assumptions'!C27)^5</f>
        <v>1456.086277260439</v>
      </c>
    </row>
    <row r="45" spans="2:5" x14ac:dyDescent="0.25">
      <c r="B45" s="33" t="s">
        <v>179</v>
      </c>
      <c r="E45" s="48">
        <f>E43+E44</f>
        <v>2087.5182419516213</v>
      </c>
    </row>
    <row r="46" spans="2:5" x14ac:dyDescent="0.25">
      <c r="B46" s="18" t="s">
        <v>180</v>
      </c>
      <c r="E46" s="30">
        <f>E45+'Assumptions'!C23</f>
        <v>2104.1182419516213</v>
      </c>
    </row>
    <row r="47" spans="2:5" x14ac:dyDescent="0.25">
      <c r="B47" s="33" t="s">
        <v>126</v>
      </c>
      <c r="E47" s="57">
        <f>E46/'Assumptions'!C17</f>
        <v>10.027441630376204</v>
      </c>
    </row>
    <row r="48" spans="2:5" x14ac:dyDescent="0.25">
      <c r="B48" s="18" t="s">
        <v>181</v>
      </c>
      <c r="E48" s="32">
        <f>E47/'Assumptions'!C18-1</f>
        <v>-0.21599361764064073</v>
      </c>
    </row>
    <row r="49" spans="2:5" x14ac:dyDescent="0.25">
      <c r="B49" s="33" t="s">
        <v>182</v>
      </c>
      <c r="E49" s="58">
        <f>(1+'Assumptions'!C11)*(E47/'Assumptions'!C18)^(1/'Assumptions'!C30)-1</f>
        <v>0.07006430290821064</v>
      </c>
    </row>
    <row r="51" ht="20" customHeight="1" spans="2:8" x14ac:dyDescent="0.25">
      <c r="B51" s="17" t="s">
        <v>185</v>
      </c>
      <c r="C51" s="17"/>
      <c r="D51" s="17"/>
      <c r="E51" s="17"/>
      <c r="F51" s="17"/>
      <c r="G51" s="17"/>
      <c r="H51" s="17"/>
    </row>
    <row r="52" spans="2:8" x14ac:dyDescent="0.25">
      <c r="B52" s="73" t="s">
        <v>186</v>
      </c>
      <c r="C52" s="74" t="s">
        <v>187</v>
      </c>
      <c r="D52" s="74" t="s">
        <v>188</v>
      </c>
      <c r="E52" s="74" t="s">
        <v>189</v>
      </c>
      <c r="F52" s="73" t="s">
        <v>190</v>
      </c>
      <c r="G52" s="73"/>
      <c r="H52" s="73" t="s">
        <v>191</v>
      </c>
    </row>
    <row r="53" ht="26" customHeight="1" spans="2:8" x14ac:dyDescent="0.25">
      <c r="B53" s="75" t="s">
        <v>192</v>
      </c>
      <c r="C53" s="76">
        <v>4</v>
      </c>
      <c r="D53" s="76">
        <v>4</v>
      </c>
      <c r="E53" s="77">
        <f>C53*D53</f>
        <v>16</v>
      </c>
      <c r="F53" s="78" t="s">
        <v>193</v>
      </c>
      <c r="G53" s="78"/>
      <c r="H53" s="79" t="s">
        <v>194</v>
      </c>
    </row>
    <row r="54" ht="26" customHeight="1" spans="2:8" x14ac:dyDescent="0.25">
      <c r="B54" s="75" t="s">
        <v>195</v>
      </c>
      <c r="C54" s="76">
        <v>4</v>
      </c>
      <c r="D54" s="76">
        <v>3</v>
      </c>
      <c r="E54" s="77">
        <f>C54*D54</f>
        <v>12</v>
      </c>
      <c r="F54" s="78" t="s">
        <v>196</v>
      </c>
      <c r="G54" s="78"/>
      <c r="H54" s="79" t="s">
        <v>197</v>
      </c>
    </row>
    <row r="55" ht="26" customHeight="1" spans="2:8" x14ac:dyDescent="0.25">
      <c r="B55" s="75" t="s">
        <v>198</v>
      </c>
      <c r="C55" s="76">
        <v>3</v>
      </c>
      <c r="D55" s="76">
        <v>3</v>
      </c>
      <c r="E55" s="77">
        <f>C55*D55</f>
        <v>9</v>
      </c>
      <c r="F55" s="78" t="s">
        <v>199</v>
      </c>
      <c r="G55" s="78"/>
      <c r="H55" s="79" t="s">
        <v>200</v>
      </c>
    </row>
    <row r="56" ht="26" customHeight="1" spans="2:8" x14ac:dyDescent="0.25">
      <c r="B56" s="75" t="s">
        <v>201</v>
      </c>
      <c r="C56" s="76">
        <v>3</v>
      </c>
      <c r="D56" s="76">
        <v>3</v>
      </c>
      <c r="E56" s="77">
        <f>C56*D56</f>
        <v>9</v>
      </c>
      <c r="F56" s="78" t="s">
        <v>202</v>
      </c>
      <c r="G56" s="78"/>
      <c r="H56" s="79" t="s">
        <v>203</v>
      </c>
    </row>
    <row r="57" ht="26" customHeight="1" spans="2:8" x14ac:dyDescent="0.25">
      <c r="B57" s="75" t="s">
        <v>204</v>
      </c>
      <c r="C57" s="76">
        <v>2</v>
      </c>
      <c r="D57" s="76">
        <v>2</v>
      </c>
      <c r="E57" s="77">
        <f>C57*D57</f>
        <v>4</v>
      </c>
      <c r="F57" s="78" t="s">
        <v>205</v>
      </c>
      <c r="G57" s="78"/>
      <c r="H57" s="79" t="s">
        <v>18</v>
      </c>
    </row>
    <row r="58" ht="26" customHeight="1" spans="2:8" x14ac:dyDescent="0.25">
      <c r="B58" s="75" t="s">
        <v>206</v>
      </c>
      <c r="C58" s="76">
        <v>3</v>
      </c>
      <c r="D58" s="76">
        <v>4</v>
      </c>
      <c r="E58" s="77">
        <f>C58*D58</f>
        <v>12</v>
      </c>
      <c r="F58" s="78" t="s">
        <v>207</v>
      </c>
      <c r="G58" s="78"/>
      <c r="H58" s="79" t="s">
        <v>208</v>
      </c>
    </row>
    <row r="59" spans="2:5" x14ac:dyDescent="0.25">
      <c r="B59" s="33" t="s">
        <v>209</v>
      </c>
      <c r="E59" s="80">
        <f>10*(0.6*MAX(E53:E58)+0.4*AVERAGE(E53:E58))/25</f>
        <v>5.493333333333334</v>
      </c>
    </row>
    <row r="61" ht="42" customHeight="1" spans="2:8" x14ac:dyDescent="0.25">
      <c r="B61" s="14" t="s">
        <v>210</v>
      </c>
      <c r="C61" s="14"/>
      <c r="D61" s="14"/>
      <c r="E61" s="14"/>
      <c r="F61" s="14"/>
      <c r="G61" s="14"/>
      <c r="H61" s="14"/>
    </row>
  </sheetData>
  <mergeCells count="15">
    <mergeCell ref="A1:H1"/>
    <mergeCell ref="A2:H2"/>
    <mergeCell ref="B4:H4"/>
    <mergeCell ref="B11:H11"/>
    <mergeCell ref="B24:H24"/>
    <mergeCell ref="B37:H37"/>
    <mergeCell ref="B51:H51"/>
    <mergeCell ref="F52:G52"/>
    <mergeCell ref="F53:G53"/>
    <mergeCell ref="F54:G54"/>
    <mergeCell ref="F55:G55"/>
    <mergeCell ref="F56:G56"/>
    <mergeCell ref="F57:G57"/>
    <mergeCell ref="F58:G58"/>
    <mergeCell ref="B61:H61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08D2A"/>
    <pageSetUpPr fitToPage="1"/>
  </sheetPr>
  <dimension ref="A1:F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4" customWidth="1"/>
    <col min="3" max="3" width="16" customWidth="1"/>
    <col min="4" max="5" width="12" customWidth="1"/>
    <col min="6" max="6" width="34" customWidth="1"/>
  </cols>
  <sheetData>
    <row r="1" ht="30" customHeight="1" spans="1:6" x14ac:dyDescent="0.25">
      <c r="A1" s="15" t="s">
        <v>211</v>
      </c>
      <c r="B1" s="15"/>
      <c r="C1" s="15"/>
      <c r="D1" s="15"/>
      <c r="E1" s="15"/>
      <c r="F1" s="15"/>
    </row>
    <row r="2" ht="16" customHeight="1" spans="1:6" x14ac:dyDescent="0.25">
      <c r="A2" s="16" t="s">
        <v>212</v>
      </c>
      <c r="B2" s="16"/>
      <c r="C2" s="16"/>
      <c r="D2" s="16"/>
      <c r="E2" s="16"/>
      <c r="F2" s="16"/>
    </row>
    <row r="4" ht="20" customHeight="1" spans="2:6" x14ac:dyDescent="0.25">
      <c r="B4" s="17" t="s">
        <v>213</v>
      </c>
      <c r="C4" s="17"/>
      <c r="D4" s="17"/>
      <c r="E4" s="17"/>
      <c r="F4" s="17"/>
    </row>
    <row r="5" spans="2:6" x14ac:dyDescent="0.25">
      <c r="B5" s="81" t="s">
        <v>214</v>
      </c>
      <c r="C5" s="82" t="s">
        <v>215</v>
      </c>
      <c r="D5" s="82" t="s">
        <v>216</v>
      </c>
      <c r="E5" s="82" t="s">
        <v>217</v>
      </c>
      <c r="F5" s="81" t="s">
        <v>218</v>
      </c>
    </row>
    <row r="6" ht="24" customHeight="1" spans="2:6" x14ac:dyDescent="0.25">
      <c r="B6" s="18" t="s">
        <v>219</v>
      </c>
      <c r="C6" s="26">
        <f>'Assumptions'!C20/'Assumptions'!C19</f>
        <v>0.060064033625366255</v>
      </c>
      <c r="D6" s="83">
        <v>0.33</v>
      </c>
      <c r="E6" s="84" t="str">
        <f>IF(C6&lt;D6,"PASS","FAIL")</f>
        <v>PASS</v>
      </c>
      <c r="F6" s="78" t="s">
        <v>220</v>
      </c>
    </row>
    <row r="7" ht="24" customHeight="1" spans="2:6" x14ac:dyDescent="0.25">
      <c r="B7" s="18" t="s">
        <v>221</v>
      </c>
      <c r="C7" s="26">
        <f>'Assumptions'!C21/'Assumptions'!C19</f>
        <v>0.19028971446944506</v>
      </c>
      <c r="D7" s="83">
        <v>0.33</v>
      </c>
      <c r="E7" s="84" t="str">
        <f>IF(C7&lt;D7,"PASS","FAIL")</f>
        <v>PASS</v>
      </c>
      <c r="F7" s="78" t="s">
        <v>222</v>
      </c>
    </row>
    <row r="8" spans="2:6" x14ac:dyDescent="0.25">
      <c r="B8" s="42" t="s">
        <v>223</v>
      </c>
      <c r="C8" s="85">
        <f>('Assumptions'!C20+'Assumptions'!C22)/'Assumptions'!C19</f>
        <v>0.18410446038643588</v>
      </c>
      <c r="D8" s="86">
        <v>0.33</v>
      </c>
      <c r="E8" s="87" t="str">
        <f>IF(C8&lt;D8,"PASS","FAIL")</f>
        <v>PASS</v>
      </c>
      <c r="F8" s="78" t="s">
        <v>224</v>
      </c>
    </row>
    <row r="9" ht="30" customHeight="1" spans="2:6" x14ac:dyDescent="0.25">
      <c r="B9" s="18" t="s">
        <v>225</v>
      </c>
      <c r="C9" s="88" t="s">
        <v>226</v>
      </c>
      <c r="D9" s="83">
        <v>0.05</v>
      </c>
      <c r="E9" s="84" t="s">
        <v>227</v>
      </c>
      <c r="F9" s="78" t="s">
        <v>228</v>
      </c>
    </row>
    <row r="11" ht="26" customHeight="1" spans="2:5" x14ac:dyDescent="0.25">
      <c r="B11" s="33" t="s">
        <v>229</v>
      </c>
      <c r="E11" s="89" t="str">
        <f>IF(AND(E6="PASS",E7="PASS"),"PASS","REVIEW")</f>
        <v>PASS</v>
      </c>
    </row>
    <row r="13" ht="42" customHeight="1" spans="2:6" x14ac:dyDescent="0.25">
      <c r="B13" s="14" t="s">
        <v>230</v>
      </c>
      <c r="C13" s="14"/>
      <c r="D13" s="14"/>
      <c r="E13" s="14"/>
      <c r="F13" s="14"/>
    </row>
  </sheetData>
  <mergeCells count="4">
    <mergeCell ref="A1:F1"/>
    <mergeCell ref="A2:F2"/>
    <mergeCell ref="B4:F4"/>
    <mergeCell ref="B13:F13"/>
  </mergeCells>
  <pageMargins left="0.4" right="0.4" top="0.5" bottom="0.5" header="0.3" footer="0.3"/>
  <pageSetup orientation="landscape" fitToWidth="1" fitToHeight="0"/>
  <headerFooter>
    <oddFooter>&amp;L&amp;"Georgia"Lunar Investments · Jahez valuation&amp;R&amp;P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Assumptions</vt:lpstr>
      <vt:lpstr>Revenue Drivers</vt:lpstr>
      <vt:lpstr>3-Statement</vt:lpstr>
      <vt:lpstr>DCF</vt:lpstr>
      <vt:lpstr>Sensitivity</vt:lpstr>
      <vt:lpstr>Comps</vt:lpstr>
      <vt:lpstr>Scenarios &amp; Risk</vt:lpstr>
      <vt:lpstr>Compliance Screen</vt:lpstr>
    </vt:vector>
  </TitlesOfParts>
  <Company>Lunar Investments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Faheem, Lunar Investments</dc:creator>
  <dc:title/>
  <dc:subject/>
  <dc:description/>
  <cp:keywords/>
  <cp:category/>
  <cp:lastModifiedBy>Unknown</cp:lastModifiedBy>
  <dcterms:created xsi:type="dcterms:W3CDTF">2026-07-12T00:00:00Z</dcterms:created>
  <dcterms:modified xsi:type="dcterms:W3CDTF">2026-07-16T12:40:33Z</dcterms:modified>
</cp:coreProperties>
</file>